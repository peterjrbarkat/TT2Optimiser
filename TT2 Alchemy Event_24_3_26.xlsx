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66361\Downloads\"/>
    </mc:Choice>
  </mc:AlternateContent>
  <xr:revisionPtr revIDLastSave="0" documentId="8_{FCCC5F0D-3DED-4C28-937D-B2BBAFF28304}" xr6:coauthVersionLast="47" xr6:coauthVersionMax="47" xr10:uidLastSave="{00000000-0000-0000-0000-000000000000}"/>
  <bookViews>
    <workbookView xWindow="-108" yWindow="-108" windowWidth="30936" windowHeight="18696" firstSheet="1" activeTab="1" xr2:uid="{00000000-000D-0000-FFFF-FFFF00000000}"/>
  </bookViews>
  <sheets>
    <sheet name="Archive 7.8" sheetId="2" state="hidden" r:id="rId1"/>
    <sheet name="Recipe Matrix" sheetId="3" r:id="rId2"/>
    <sheet name="Calculations" sheetId="18" r:id="rId3"/>
    <sheet name="Output" sheetId="19" r:id="rId4"/>
    <sheet name="Sheet10" sheetId="4" state="hidden" r:id="rId5"/>
    <sheet name="ARCHIVE 7.4" sheetId="6" state="hidden" r:id="rId6"/>
    <sheet name="ARCHIVE 6.2 Recipe Matrix" sheetId="7" state="hidden" r:id="rId7"/>
    <sheet name="(ARCHIVE) 5.29 Recipe Matrix" sheetId="8" state="hidden" r:id="rId8"/>
    <sheet name="(ARCHIVE) 6.8 Recipe Matrix" sheetId="9" state="hidden" r:id="rId9"/>
    <sheet name="(ARCHIVE) Recipe Matrix 7.0" sheetId="10" state="hidden" r:id="rId10"/>
    <sheet name="5.29 Recipe Matrix (Unsorted)" sheetId="11" state="hidden" r:id="rId11"/>
    <sheet name="5.29 Recipe Book" sheetId="12" state="hidden" r:id="rId12"/>
    <sheet name="Images" sheetId="13" state="hidden" r:id="rId13"/>
    <sheet name="(ARCHIVE) 5.24 Recipe Matrix" sheetId="14" state="hidden" r:id="rId14"/>
    <sheet name="Ingredient List" sheetId="15" state="hidden" r:id="rId15"/>
    <sheet name="(ARCHIVE) 5.24 Recipe Book" sheetId="16" state="hidden" r:id="rId16"/>
    <sheet name="Archive 7.12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9" l="1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E84" i="18"/>
  <c r="AF84" i="18" s="1"/>
  <c r="AE85" i="18"/>
  <c r="AF85" i="18" s="1"/>
  <c r="AE86" i="18"/>
  <c r="AE87" i="18"/>
  <c r="AF87" i="18" s="1"/>
  <c r="AE88" i="18"/>
  <c r="AF88" i="18" s="1"/>
  <c r="AE89" i="18"/>
  <c r="AF89" i="18" s="1"/>
  <c r="AE90" i="18"/>
  <c r="AF90" i="18" s="1"/>
  <c r="AE91" i="18"/>
  <c r="AF91" i="18" s="1"/>
  <c r="AE92" i="18"/>
  <c r="AF92" i="18" s="1"/>
  <c r="AE93" i="18"/>
  <c r="AF93" i="18" s="1"/>
  <c r="AE94" i="18"/>
  <c r="AF94" i="18" s="1"/>
  <c r="AE95" i="18"/>
  <c r="AF95" i="18" s="1"/>
  <c r="AE96" i="18"/>
  <c r="AF96" i="18" s="1"/>
  <c r="AE97" i="18"/>
  <c r="AF97" i="18" s="1"/>
  <c r="AE98" i="18"/>
  <c r="AF98" i="18" s="1"/>
  <c r="AE99" i="18"/>
  <c r="AF99" i="18" s="1"/>
  <c r="AE100" i="18"/>
  <c r="AF100" i="18" s="1"/>
  <c r="AE101" i="18"/>
  <c r="AF101" i="18" s="1"/>
  <c r="AE102" i="18"/>
  <c r="AE103" i="18"/>
  <c r="AF103" i="18" s="1"/>
  <c r="AE104" i="18"/>
  <c r="AE105" i="18"/>
  <c r="AE106" i="18"/>
  <c r="AF106" i="18" s="1"/>
  <c r="AE107" i="18"/>
  <c r="AF107" i="18" s="1"/>
  <c r="AE108" i="18"/>
  <c r="AF108" i="18" s="1"/>
  <c r="AE109" i="18"/>
  <c r="AF109" i="18" s="1"/>
  <c r="AE110" i="18"/>
  <c r="AF110" i="18" s="1"/>
  <c r="AE111" i="18"/>
  <c r="AE112" i="18"/>
  <c r="AF112" i="18" s="1"/>
  <c r="AE113" i="18"/>
  <c r="AE114" i="18"/>
  <c r="AE115" i="18"/>
  <c r="AF115" i="18" s="1"/>
  <c r="AE116" i="18"/>
  <c r="AE117" i="18"/>
  <c r="AE118" i="18"/>
  <c r="AE119" i="18"/>
  <c r="AE120" i="18"/>
  <c r="AF120" i="18" s="1"/>
  <c r="AE121" i="18"/>
  <c r="AF121" i="18" s="1"/>
  <c r="AE122" i="18"/>
  <c r="AF122" i="18" s="1"/>
  <c r="AE123" i="18"/>
  <c r="AF123" i="18" s="1"/>
  <c r="AE124" i="18"/>
  <c r="AF124" i="18" s="1"/>
  <c r="AE125" i="18"/>
  <c r="AF125" i="18" s="1"/>
  <c r="AE126" i="18"/>
  <c r="AF126" i="18" s="1"/>
  <c r="AE127" i="18"/>
  <c r="AF127" i="18" s="1"/>
  <c r="U93" i="18"/>
  <c r="U94" i="18"/>
  <c r="U95" i="18"/>
  <c r="U96" i="18"/>
  <c r="U97" i="18"/>
  <c r="U98" i="18"/>
  <c r="U99" i="18"/>
  <c r="U100" i="18"/>
  <c r="U101" i="18"/>
  <c r="U102" i="18"/>
  <c r="U103" i="18"/>
  <c r="U104" i="18"/>
  <c r="U105" i="18"/>
  <c r="U106" i="18"/>
  <c r="U107" i="18"/>
  <c r="U108" i="18"/>
  <c r="U109" i="18"/>
  <c r="U110" i="18"/>
  <c r="U111" i="18"/>
  <c r="U112" i="18"/>
  <c r="U113" i="18"/>
  <c r="U114" i="18"/>
  <c r="U115" i="18"/>
  <c r="U116" i="18"/>
  <c r="U117" i="18"/>
  <c r="U118" i="18"/>
  <c r="U119" i="18"/>
  <c r="U120" i="18"/>
  <c r="U121" i="18"/>
  <c r="V121" i="18" s="1"/>
  <c r="U122" i="18"/>
  <c r="V122" i="18" s="1"/>
  <c r="U123" i="18"/>
  <c r="V123" i="18" s="1"/>
  <c r="U124" i="18"/>
  <c r="V124" i="18" s="1"/>
  <c r="U125" i="18"/>
  <c r="V125" i="18" s="1"/>
  <c r="U126" i="18"/>
  <c r="U127" i="18"/>
  <c r="V127" i="18" s="1"/>
  <c r="V126" i="18"/>
  <c r="AF119" i="18"/>
  <c r="AF118" i="18"/>
  <c r="AF117" i="18"/>
  <c r="AF116" i="18"/>
  <c r="AF114" i="18"/>
  <c r="AF113" i="18"/>
  <c r="AF111" i="18"/>
  <c r="AF105" i="18"/>
  <c r="AF104" i="18"/>
  <c r="AF102" i="18"/>
  <c r="AF86" i="18"/>
  <c r="V120" i="18"/>
  <c r="B20" i="17" a="1"/>
  <c r="B20" i="17" s="1"/>
  <c r="R19" i="17" a="1"/>
  <c r="R19" i="17"/>
  <c r="B19" i="17" a="1"/>
  <c r="B19" i="17" s="1"/>
  <c r="R18" i="17"/>
  <c r="Q18" i="17"/>
  <c r="O18" i="17" a="1"/>
  <c r="O18" i="17" s="1"/>
  <c r="P17" i="17" s="1"/>
  <c r="B18" i="17" a="1"/>
  <c r="B18" i="17" s="1"/>
  <c r="R17" i="17"/>
  <c r="Q17" i="17"/>
  <c r="B17" i="17" a="1"/>
  <c r="B17" i="17" s="1"/>
  <c r="R16" i="17"/>
  <c r="Q16" i="17"/>
  <c r="P16" i="17"/>
  <c r="O16" i="17"/>
  <c r="M16" i="17" a="1"/>
  <c r="M16" i="17" s="1"/>
  <c r="N15" i="17" s="1"/>
  <c r="B16" i="17" a="1"/>
  <c r="B16" i="17" s="1"/>
  <c r="R15" i="17"/>
  <c r="Q15" i="17"/>
  <c r="P15" i="17"/>
  <c r="O15" i="17"/>
  <c r="L15" i="17" a="1"/>
  <c r="L15" i="17" s="1"/>
  <c r="M14" i="17" s="1"/>
  <c r="B15" i="17" a="1"/>
  <c r="B15" i="17" s="1"/>
  <c r="R14" i="17"/>
  <c r="Q14" i="17"/>
  <c r="P14" i="17"/>
  <c r="O14" i="17"/>
  <c r="N14" i="17"/>
  <c r="J14" i="17" a="1"/>
  <c r="J14" i="17" s="1"/>
  <c r="L12" i="17" s="1"/>
  <c r="G14" i="17" a="1"/>
  <c r="G14" i="17" s="1"/>
  <c r="L9" i="17" s="1"/>
  <c r="B14" i="17" a="1"/>
  <c r="B14" i="17" s="1"/>
  <c r="R13" i="17"/>
  <c r="Q13" i="17"/>
  <c r="P13" i="17"/>
  <c r="O13" i="17"/>
  <c r="N13" i="17"/>
  <c r="M13" i="17"/>
  <c r="L13" i="17"/>
  <c r="I13" i="17" a="1"/>
  <c r="I13" i="17" s="1"/>
  <c r="K11" i="17" s="1"/>
  <c r="B13" i="17" a="1"/>
  <c r="B13" i="17" s="1"/>
  <c r="R12" i="17"/>
  <c r="Q12" i="17"/>
  <c r="P12" i="17"/>
  <c r="O12" i="17"/>
  <c r="N12" i="17"/>
  <c r="M12" i="17"/>
  <c r="K12" i="17"/>
  <c r="B12" i="17" a="1"/>
  <c r="B12" i="17" s="1"/>
  <c r="R11" i="17"/>
  <c r="Q11" i="17"/>
  <c r="P11" i="17"/>
  <c r="O11" i="17"/>
  <c r="N11" i="17"/>
  <c r="M11" i="17"/>
  <c r="L11" i="17"/>
  <c r="J11" i="17"/>
  <c r="H11" i="17" a="1"/>
  <c r="H11" i="17" s="1"/>
  <c r="I10" i="17" s="1"/>
  <c r="B11" i="17" a="1"/>
  <c r="B11" i="17" s="1"/>
  <c r="R10" i="17"/>
  <c r="Q10" i="17"/>
  <c r="P10" i="17"/>
  <c r="O10" i="17"/>
  <c r="N10" i="17"/>
  <c r="M10" i="17"/>
  <c r="L10" i="17"/>
  <c r="K10" i="17"/>
  <c r="J10" i="17"/>
  <c r="F10" i="17" a="1"/>
  <c r="F10" i="17" s="1"/>
  <c r="H8" i="17" s="1"/>
  <c r="B10" i="17" a="1"/>
  <c r="B10" i="17" s="1"/>
  <c r="R9" i="17"/>
  <c r="Q9" i="17"/>
  <c r="P9" i="17"/>
  <c r="O9" i="17"/>
  <c r="N9" i="17"/>
  <c r="M9" i="17"/>
  <c r="K9" i="17"/>
  <c r="J9" i="17"/>
  <c r="I9" i="17"/>
  <c r="H9" i="17"/>
  <c r="C9" i="17" a="1"/>
  <c r="C9" i="17" s="1"/>
  <c r="G5" i="17" s="1"/>
  <c r="B9" i="17" a="1"/>
  <c r="B9" i="17" s="1"/>
  <c r="R8" i="17"/>
  <c r="Q8" i="17"/>
  <c r="P8" i="17"/>
  <c r="O8" i="17"/>
  <c r="N8" i="17"/>
  <c r="M8" i="17"/>
  <c r="L8" i="17"/>
  <c r="K8" i="17"/>
  <c r="J8" i="17"/>
  <c r="I8" i="17"/>
  <c r="G8" i="17"/>
  <c r="E8" i="17" a="1"/>
  <c r="E8" i="17" s="1"/>
  <c r="F7" i="17" s="1"/>
  <c r="B8" i="17" a="1"/>
  <c r="B8" i="17" s="1"/>
  <c r="R7" i="17"/>
  <c r="Q7" i="17"/>
  <c r="P7" i="17"/>
  <c r="O7" i="17"/>
  <c r="N7" i="17"/>
  <c r="M7" i="17"/>
  <c r="L7" i="17"/>
  <c r="K7" i="17"/>
  <c r="J7" i="17"/>
  <c r="I7" i="17"/>
  <c r="H7" i="17"/>
  <c r="G7" i="17"/>
  <c r="D7" i="17" a="1"/>
  <c r="D7" i="17" s="1"/>
  <c r="E6" i="17" s="1"/>
  <c r="B7" i="17" a="1"/>
  <c r="B7" i="17" s="1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C6" i="17" a="1"/>
  <c r="C6" i="17" s="1"/>
  <c r="D5" i="17" s="1"/>
  <c r="B6" i="17" a="1"/>
  <c r="B6" i="17" s="1"/>
  <c r="R5" i="17"/>
  <c r="Q5" i="17"/>
  <c r="P5" i="17"/>
  <c r="O5" i="17"/>
  <c r="N5" i="17"/>
  <c r="M5" i="17"/>
  <c r="L5" i="17"/>
  <c r="K5" i="17"/>
  <c r="J5" i="17"/>
  <c r="I5" i="17"/>
  <c r="H5" i="17"/>
  <c r="F5" i="17"/>
  <c r="E5" i="17"/>
  <c r="B5" i="17" a="1"/>
  <c r="B5" i="17" s="1"/>
  <c r="R4" i="17" a="1"/>
  <c r="R4" i="17" s="1"/>
  <c r="Q4" i="17" a="1"/>
  <c r="Q4" i="17" s="1"/>
  <c r="P4" i="17" a="1"/>
  <c r="P4" i="17" s="1"/>
  <c r="O4" i="17" a="1"/>
  <c r="O4" i="17" s="1"/>
  <c r="N4" i="17" a="1"/>
  <c r="N4" i="17" s="1"/>
  <c r="M4" i="17" a="1"/>
  <c r="M4" i="17" s="1"/>
  <c r="L4" i="17" a="1"/>
  <c r="L4" i="17" s="1"/>
  <c r="K4" i="17" a="1"/>
  <c r="K4" i="17" s="1"/>
  <c r="J4" i="17" a="1"/>
  <c r="J4" i="17" s="1"/>
  <c r="I4" i="17" a="1"/>
  <c r="I4" i="17" s="1"/>
  <c r="H4" i="17" a="1"/>
  <c r="H4" i="17" s="1"/>
  <c r="G4" i="17" a="1"/>
  <c r="G4" i="17" s="1"/>
  <c r="F4" i="17" a="1"/>
  <c r="F4" i="17" s="1"/>
  <c r="E4" i="17" a="1"/>
  <c r="E4" i="17" s="1"/>
  <c r="D4" i="17" a="1"/>
  <c r="D4" i="17" s="1"/>
  <c r="C4" i="17" a="1"/>
  <c r="C4" i="17" s="1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 a="1"/>
  <c r="C3" i="17" s="1"/>
  <c r="A3" i="17" a="1"/>
  <c r="A3" i="17" s="1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B232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B215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B198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B181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B164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B147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B130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B113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B96" i="16"/>
  <c r="H94" i="16"/>
  <c r="H93" i="16"/>
  <c r="H92" i="16"/>
  <c r="H91" i="16"/>
  <c r="H90" i="16"/>
  <c r="H89" i="16"/>
  <c r="H88" i="16"/>
  <c r="H87" i="16"/>
  <c r="H86" i="16"/>
  <c r="H85" i="16"/>
  <c r="H83" i="16"/>
  <c r="H82" i="16"/>
  <c r="H81" i="16"/>
  <c r="H80" i="16"/>
  <c r="B79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B62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7" i="16"/>
  <c r="H46" i="16"/>
  <c r="B45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B28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B11" i="16"/>
  <c r="X8" i="16"/>
  <c r="V8" i="16"/>
  <c r="H8" i="16"/>
  <c r="F8" i="16"/>
  <c r="H12" i="15"/>
  <c r="F12" i="15"/>
  <c r="D12" i="15"/>
  <c r="B12" i="15"/>
  <c r="H11" i="15"/>
  <c r="F11" i="15"/>
  <c r="D11" i="15"/>
  <c r="B11" i="15"/>
  <c r="H10" i="15"/>
  <c r="F10" i="15"/>
  <c r="D10" i="15"/>
  <c r="B10" i="15"/>
  <c r="H9" i="15"/>
  <c r="F9" i="15"/>
  <c r="D9" i="15"/>
  <c r="B9" i="15"/>
  <c r="B16" i="14"/>
  <c r="B15" i="14"/>
  <c r="C14" i="14"/>
  <c r="B14" i="14"/>
  <c r="D13" i="14"/>
  <c r="B13" i="14"/>
  <c r="B12" i="14"/>
  <c r="J11" i="14"/>
  <c r="I11" i="14"/>
  <c r="B11" i="14"/>
  <c r="K10" i="14"/>
  <c r="I10" i="14"/>
  <c r="B10" i="14"/>
  <c r="K9" i="14"/>
  <c r="J9" i="14"/>
  <c r="B9" i="14"/>
  <c r="F8" i="14"/>
  <c r="E8" i="14"/>
  <c r="B8" i="14"/>
  <c r="F7" i="14"/>
  <c r="B7" i="14"/>
  <c r="H6" i="14"/>
  <c r="G6" i="14"/>
  <c r="D6" i="14"/>
  <c r="C6" i="14"/>
  <c r="B6" i="14"/>
  <c r="H5" i="14"/>
  <c r="C5" i="14"/>
  <c r="B5" i="14"/>
  <c r="M4" i="14"/>
  <c r="F4" i="14"/>
  <c r="C4" i="14"/>
  <c r="B4" i="14"/>
  <c r="N3" i="14"/>
  <c r="F3" i="14"/>
  <c r="E3" i="14"/>
  <c r="D3" i="14"/>
  <c r="B3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E161" i="12" s="1"/>
  <c r="C14" i="13"/>
  <c r="E126" i="12" s="1"/>
  <c r="C13" i="13"/>
  <c r="E57" i="12" s="1"/>
  <c r="C12" i="13"/>
  <c r="P13" i="12" s="1"/>
  <c r="C11" i="13"/>
  <c r="E208" i="12" s="1"/>
  <c r="C10" i="13"/>
  <c r="E105" i="12" s="1"/>
  <c r="C9" i="13"/>
  <c r="E70" i="12" s="1"/>
  <c r="C8" i="13"/>
  <c r="E18" i="16" s="1"/>
  <c r="C7" i="13"/>
  <c r="E204" i="12" s="1"/>
  <c r="C6" i="13"/>
  <c r="E101" i="12" s="1"/>
  <c r="C5" i="13"/>
  <c r="E117" i="12" s="1"/>
  <c r="C4" i="13"/>
  <c r="E167" i="12" s="1"/>
  <c r="C3" i="13"/>
  <c r="E30" i="12" s="1"/>
  <c r="C2" i="13"/>
  <c r="L6" i="12" s="1"/>
  <c r="X247" i="12"/>
  <c r="H247" i="12"/>
  <c r="U246" i="12"/>
  <c r="U245" i="12"/>
  <c r="U244" i="12"/>
  <c r="U243" i="12"/>
  <c r="U242" i="12"/>
  <c r="U241" i="12"/>
  <c r="U240" i="12"/>
  <c r="U239" i="12"/>
  <c r="U238" i="12"/>
  <c r="U237" i="12"/>
  <c r="U236" i="12"/>
  <c r="U235" i="12"/>
  <c r="U234" i="12"/>
  <c r="H234" i="12"/>
  <c r="X233" i="12" a="1"/>
  <c r="X233" i="12" s="1"/>
  <c r="H233" i="12" s="1"/>
  <c r="U233" i="12"/>
  <c r="R233" i="12"/>
  <c r="R234" i="12" s="1"/>
  <c r="R232" i="12"/>
  <c r="B232" i="12" s="1"/>
  <c r="X230" i="12"/>
  <c r="H230" i="12"/>
  <c r="U229" i="12"/>
  <c r="U228" i="12"/>
  <c r="U227" i="12"/>
  <c r="U226" i="12"/>
  <c r="U225" i="12"/>
  <c r="U224" i="12"/>
  <c r="U223" i="12"/>
  <c r="U222" i="12"/>
  <c r="U221" i="12"/>
  <c r="U220" i="12"/>
  <c r="U219" i="12"/>
  <c r="U218" i="12"/>
  <c r="U217" i="12"/>
  <c r="U216" i="12"/>
  <c r="R216" i="12"/>
  <c r="X213" i="12"/>
  <c r="H213" i="12"/>
  <c r="U212" i="12"/>
  <c r="U211" i="12"/>
  <c r="U210" i="12"/>
  <c r="U209" i="12"/>
  <c r="U208" i="12"/>
  <c r="U207" i="12"/>
  <c r="U206" i="12"/>
  <c r="U205" i="12"/>
  <c r="U204" i="12"/>
  <c r="U203" i="12"/>
  <c r="U202" i="12"/>
  <c r="U201" i="12"/>
  <c r="U200" i="12"/>
  <c r="R200" i="12"/>
  <c r="U199" i="12"/>
  <c r="R199" i="12"/>
  <c r="R198" i="12"/>
  <c r="B198" i="12"/>
  <c r="X196" i="12"/>
  <c r="H196" i="12"/>
  <c r="U195" i="12"/>
  <c r="U194" i="12"/>
  <c r="U193" i="12"/>
  <c r="U192" i="12"/>
  <c r="U191" i="12"/>
  <c r="U190" i="12"/>
  <c r="U189" i="12"/>
  <c r="U188" i="12"/>
  <c r="U187" i="12"/>
  <c r="U186" i="12"/>
  <c r="U185" i="12"/>
  <c r="U184" i="12"/>
  <c r="U183" i="12"/>
  <c r="U182" i="12"/>
  <c r="R182" i="12"/>
  <c r="R181" i="12"/>
  <c r="B181" i="12" s="1"/>
  <c r="X179" i="12"/>
  <c r="H179" i="12"/>
  <c r="U178" i="12"/>
  <c r="U177" i="12"/>
  <c r="U176" i="12"/>
  <c r="U175" i="12"/>
  <c r="U174" i="12"/>
  <c r="U173" i="12"/>
  <c r="U172" i="12"/>
  <c r="U171" i="12"/>
  <c r="U170" i="12"/>
  <c r="U169" i="12"/>
  <c r="U168" i="12"/>
  <c r="U167" i="12"/>
  <c r="U166" i="12"/>
  <c r="X165" i="12" a="1"/>
  <c r="X165" i="12" s="1"/>
  <c r="H165" i="12" s="1"/>
  <c r="U165" i="12"/>
  <c r="R165" i="12"/>
  <c r="X162" i="12"/>
  <c r="H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U149" i="12"/>
  <c r="U148" i="12"/>
  <c r="R148" i="12"/>
  <c r="R147" i="12"/>
  <c r="B147" i="12" s="1"/>
  <c r="X145" i="12"/>
  <c r="H145" i="12"/>
  <c r="U144" i="12"/>
  <c r="U143" i="12"/>
  <c r="U142" i="12"/>
  <c r="U141" i="12"/>
  <c r="U140" i="12"/>
  <c r="U139" i="12"/>
  <c r="U138" i="12"/>
  <c r="U137" i="12"/>
  <c r="U136" i="12"/>
  <c r="U135" i="12"/>
  <c r="U134" i="12"/>
  <c r="U133" i="12"/>
  <c r="U132" i="12"/>
  <c r="U131" i="12"/>
  <c r="R131" i="12"/>
  <c r="X128" i="12"/>
  <c r="H128" i="12"/>
  <c r="U127" i="12"/>
  <c r="U126" i="12"/>
  <c r="U125" i="12"/>
  <c r="U124" i="12"/>
  <c r="U123" i="12"/>
  <c r="U122" i="12"/>
  <c r="U121" i="12"/>
  <c r="U120" i="12"/>
  <c r="U119" i="12"/>
  <c r="U118" i="12"/>
  <c r="U117" i="12"/>
  <c r="U116" i="12"/>
  <c r="U115" i="12"/>
  <c r="R115" i="12"/>
  <c r="U114" i="12"/>
  <c r="R114" i="12"/>
  <c r="X111" i="12"/>
  <c r="H111" i="12"/>
  <c r="U110" i="12"/>
  <c r="U109" i="12"/>
  <c r="U108" i="12"/>
  <c r="U107" i="12"/>
  <c r="U106" i="12"/>
  <c r="U105" i="12"/>
  <c r="U104" i="12"/>
  <c r="U103" i="12"/>
  <c r="U102" i="12"/>
  <c r="U101" i="12"/>
  <c r="U100" i="12"/>
  <c r="U99" i="12"/>
  <c r="U98" i="12"/>
  <c r="X97" i="12" a="1"/>
  <c r="X97" i="12" s="1"/>
  <c r="U97" i="12"/>
  <c r="R97" i="12"/>
  <c r="H97" i="12"/>
  <c r="X94" i="12"/>
  <c r="H94" i="12"/>
  <c r="U93" i="12"/>
  <c r="U92" i="12"/>
  <c r="U91" i="12"/>
  <c r="U90" i="12"/>
  <c r="U89" i="12"/>
  <c r="U88" i="12"/>
  <c r="U87" i="12"/>
  <c r="U86" i="12"/>
  <c r="U85" i="12"/>
  <c r="U84" i="12"/>
  <c r="U83" i="12"/>
  <c r="U82" i="12"/>
  <c r="U81" i="12"/>
  <c r="U80" i="12"/>
  <c r="R80" i="12"/>
  <c r="X77" i="12"/>
  <c r="H77" i="12"/>
  <c r="U76" i="12"/>
  <c r="U75" i="12"/>
  <c r="U74" i="12"/>
  <c r="U73" i="12"/>
  <c r="U72" i="12"/>
  <c r="U71" i="12"/>
  <c r="U70" i="12"/>
  <c r="U69" i="12"/>
  <c r="U68" i="12"/>
  <c r="U67" i="12"/>
  <c r="U66" i="12"/>
  <c r="U65" i="12"/>
  <c r="U64" i="12"/>
  <c r="X63" i="12" a="1"/>
  <c r="X63" i="12" s="1"/>
  <c r="H63" i="12" s="1"/>
  <c r="U63" i="12"/>
  <c r="R63" i="12"/>
  <c r="R64" i="12" s="1"/>
  <c r="R62" i="12"/>
  <c r="B62" i="12" s="1"/>
  <c r="X60" i="12"/>
  <c r="H60" i="12"/>
  <c r="U59" i="12"/>
  <c r="U58" i="12"/>
  <c r="U57" i="12"/>
  <c r="U56" i="12"/>
  <c r="U55" i="12"/>
  <c r="U54" i="12"/>
  <c r="U53" i="12"/>
  <c r="U52" i="12"/>
  <c r="U51" i="12"/>
  <c r="U50" i="12"/>
  <c r="U49" i="12"/>
  <c r="U48" i="12"/>
  <c r="U47" i="12"/>
  <c r="U46" i="12"/>
  <c r="R46" i="12"/>
  <c r="R45" i="12"/>
  <c r="B45" i="12" s="1"/>
  <c r="X43" i="12"/>
  <c r="H43" i="12"/>
  <c r="U42" i="12"/>
  <c r="H42" i="12"/>
  <c r="U41" i="12"/>
  <c r="U40" i="12"/>
  <c r="U39" i="12"/>
  <c r="U38" i="12"/>
  <c r="U37" i="12"/>
  <c r="U36" i="12"/>
  <c r="U35" i="12"/>
  <c r="U34" i="12"/>
  <c r="U33" i="12"/>
  <c r="U32" i="12"/>
  <c r="U31" i="12"/>
  <c r="U30" i="12"/>
  <c r="R30" i="12"/>
  <c r="R31" i="12" s="1"/>
  <c r="X29" i="12" a="1"/>
  <c r="X29" i="12" s="1"/>
  <c r="U29" i="12"/>
  <c r="R29" i="12"/>
  <c r="R28" i="12"/>
  <c r="B28" i="12" s="1"/>
  <c r="X26" i="12"/>
  <c r="H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R13" i="12"/>
  <c r="U12" i="12"/>
  <c r="R12" i="12"/>
  <c r="R11" i="12"/>
  <c r="B11" i="12" s="1"/>
  <c r="X8" i="12"/>
  <c r="V8" i="12"/>
  <c r="H8" i="12"/>
  <c r="F8" i="12"/>
  <c r="B20" i="11" a="1"/>
  <c r="B20" i="11" s="1"/>
  <c r="B19" i="11" a="1"/>
  <c r="B19" i="11" s="1"/>
  <c r="B18" i="11" a="1"/>
  <c r="B18" i="11" s="1"/>
  <c r="H17" i="11" a="1"/>
  <c r="H17" i="11" s="1"/>
  <c r="B17" i="11" a="1"/>
  <c r="B17" i="11" s="1"/>
  <c r="B16" i="11" a="1"/>
  <c r="B16" i="11" s="1"/>
  <c r="M15" i="11" a="1"/>
  <c r="M15" i="11" s="1"/>
  <c r="B15" i="11" a="1"/>
  <c r="B15" i="11" s="1"/>
  <c r="B14" i="11" a="1"/>
  <c r="B14" i="11" s="1"/>
  <c r="K13" i="11" a="1"/>
  <c r="K13" i="11" s="1"/>
  <c r="B13" i="11" a="1"/>
  <c r="B13" i="11" s="1"/>
  <c r="D12" i="11" a="1"/>
  <c r="D12" i="11" s="1"/>
  <c r="B12" i="11" a="1"/>
  <c r="B12" i="11" s="1"/>
  <c r="I11" i="11" a="1"/>
  <c r="I11" i="11" s="1"/>
  <c r="F11" i="11" a="1"/>
  <c r="F11" i="11" s="1"/>
  <c r="B11" i="11" a="1"/>
  <c r="B11" i="11" s="1"/>
  <c r="O10" i="11" a="1"/>
  <c r="O10" i="11" s="1"/>
  <c r="H10" i="11" a="1"/>
  <c r="H10" i="11" s="1"/>
  <c r="E10" i="11" a="1"/>
  <c r="E10" i="11" s="1"/>
  <c r="B10" i="11" a="1"/>
  <c r="B10" i="11" s="1"/>
  <c r="G9" i="11" a="1"/>
  <c r="G9" i="11" s="1"/>
  <c r="E9" i="11" a="1"/>
  <c r="E9" i="11" s="1"/>
  <c r="B9" i="11" a="1"/>
  <c r="B9" i="11" s="1"/>
  <c r="I8" i="11" a="1"/>
  <c r="I8" i="11" s="1"/>
  <c r="F8" i="11" a="1"/>
  <c r="F8" i="11" s="1"/>
  <c r="B8" i="11" a="1"/>
  <c r="B8" i="11" s="1"/>
  <c r="H7" i="11" a="1"/>
  <c r="H7" i="11" s="1"/>
  <c r="G7" i="11" a="1"/>
  <c r="G7" i="11" s="1"/>
  <c r="E7" i="11" a="1"/>
  <c r="E7" i="11" s="1"/>
  <c r="D7" i="11" a="1"/>
  <c r="D7" i="11" s="1"/>
  <c r="B7" i="11" a="1"/>
  <c r="B7" i="11" s="1"/>
  <c r="J6" i="11" a="1"/>
  <c r="J6" i="11" s="1"/>
  <c r="E6" i="11" a="1"/>
  <c r="E6" i="11" s="1"/>
  <c r="D6" i="11" a="1"/>
  <c r="D6" i="11" s="1"/>
  <c r="B6" i="11" a="1"/>
  <c r="B6" i="11" s="1"/>
  <c r="C5" i="11" a="1"/>
  <c r="C5" i="11" s="1"/>
  <c r="B5" i="11" a="1"/>
  <c r="B5" i="11" s="1"/>
  <c r="R4" i="11" a="1"/>
  <c r="R4" i="11" s="1"/>
  <c r="Q4" i="11" a="1"/>
  <c r="Q4" i="11" s="1"/>
  <c r="P4" i="11" a="1"/>
  <c r="P4" i="11" s="1"/>
  <c r="O4" i="11" a="1"/>
  <c r="O4" i="11" s="1"/>
  <c r="N4" i="11" a="1"/>
  <c r="N4" i="11" s="1"/>
  <c r="M4" i="11" a="1"/>
  <c r="M4" i="11" s="1"/>
  <c r="L4" i="11" a="1"/>
  <c r="L4" i="11" s="1"/>
  <c r="K4" i="11" a="1"/>
  <c r="K4" i="11" s="1"/>
  <c r="J4" i="11" a="1"/>
  <c r="J4" i="11" s="1"/>
  <c r="I4" i="11" a="1"/>
  <c r="I4" i="11" s="1"/>
  <c r="H4" i="11" a="1"/>
  <c r="H4" i="11" s="1"/>
  <c r="G4" i="11" a="1"/>
  <c r="G4" i="11" s="1"/>
  <c r="F4" i="11" a="1"/>
  <c r="F4" i="11" s="1"/>
  <c r="E4" i="11" a="1"/>
  <c r="E4" i="11" s="1"/>
  <c r="D4" i="11" a="1"/>
  <c r="D4" i="11" s="1"/>
  <c r="C4" i="11" a="1"/>
  <c r="C4" i="11" s="1"/>
  <c r="B20" i="10" a="1"/>
  <c r="B20" i="10" s="1"/>
  <c r="R19" i="10" a="1"/>
  <c r="R19" i="10"/>
  <c r="B19" i="10" a="1"/>
  <c r="B19" i="10" s="1"/>
  <c r="R18" i="10"/>
  <c r="Q18" i="10"/>
  <c r="B18" i="10" a="1"/>
  <c r="B18" i="10" s="1"/>
  <c r="R17" i="10"/>
  <c r="Q17" i="10"/>
  <c r="P17" i="10"/>
  <c r="B17" i="10" a="1"/>
  <c r="B17" i="10" s="1"/>
  <c r="R16" i="10"/>
  <c r="Q16" i="10"/>
  <c r="P16" i="10"/>
  <c r="O16" i="10"/>
  <c r="M16" i="10" a="1"/>
  <c r="M16" i="10" s="1"/>
  <c r="N15" i="10" s="1"/>
  <c r="L16" i="10" a="1"/>
  <c r="L16" i="10" s="1"/>
  <c r="N14" i="10" s="1"/>
  <c r="B16" i="10" a="1"/>
  <c r="B16" i="10" s="1"/>
  <c r="R15" i="10"/>
  <c r="Q15" i="10"/>
  <c r="P15" i="10"/>
  <c r="O15" i="10"/>
  <c r="I15" i="10" a="1"/>
  <c r="I15" i="10" s="1"/>
  <c r="M11" i="10" s="1"/>
  <c r="B15" i="10" a="1"/>
  <c r="B15" i="10" s="1"/>
  <c r="R14" i="10"/>
  <c r="Q14" i="10"/>
  <c r="P14" i="10"/>
  <c r="O14" i="10"/>
  <c r="M14" i="10"/>
  <c r="J14" i="10" a="1"/>
  <c r="J14" i="10" s="1"/>
  <c r="L12" i="10" s="1"/>
  <c r="B14" i="10" a="1"/>
  <c r="B14" i="10" s="1"/>
  <c r="R13" i="10"/>
  <c r="Q13" i="10"/>
  <c r="P13" i="10"/>
  <c r="O13" i="10"/>
  <c r="N13" i="10"/>
  <c r="M13" i="10"/>
  <c r="L13" i="10"/>
  <c r="B13" i="10" a="1"/>
  <c r="B13" i="10" s="1"/>
  <c r="R12" i="10"/>
  <c r="Q12" i="10"/>
  <c r="P12" i="10"/>
  <c r="O12" i="10"/>
  <c r="N12" i="10"/>
  <c r="M12" i="10"/>
  <c r="K12" i="10"/>
  <c r="B12" i="10" a="1"/>
  <c r="B12" i="10" s="1"/>
  <c r="R11" i="10"/>
  <c r="Q11" i="10"/>
  <c r="P11" i="10"/>
  <c r="O11" i="10"/>
  <c r="N11" i="10"/>
  <c r="L11" i="10"/>
  <c r="K11" i="10"/>
  <c r="J11" i="10"/>
  <c r="B11" i="10" a="1"/>
  <c r="B11" i="10" s="1"/>
  <c r="R10" i="10"/>
  <c r="Q10" i="10"/>
  <c r="P10" i="10"/>
  <c r="O10" i="10"/>
  <c r="N10" i="10"/>
  <c r="M10" i="10"/>
  <c r="L10" i="10"/>
  <c r="K10" i="10"/>
  <c r="J10" i="10"/>
  <c r="I10" i="10"/>
  <c r="G10" i="10" a="1"/>
  <c r="G10" i="10" s="1"/>
  <c r="H9" i="10" s="1"/>
  <c r="B10" i="10" a="1"/>
  <c r="B10" i="10" s="1"/>
  <c r="R9" i="10"/>
  <c r="Q9" i="10"/>
  <c r="P9" i="10"/>
  <c r="O9" i="10"/>
  <c r="N9" i="10"/>
  <c r="M9" i="10"/>
  <c r="L9" i="10"/>
  <c r="K9" i="10"/>
  <c r="J9" i="10"/>
  <c r="I9" i="10"/>
  <c r="F9" i="10" a="1"/>
  <c r="F9" i="10" s="1"/>
  <c r="G8" i="10" s="1"/>
  <c r="E9" i="10" a="1"/>
  <c r="E9" i="10" s="1"/>
  <c r="G7" i="10" s="1"/>
  <c r="B9" i="10" a="1"/>
  <c r="B9" i="10" s="1"/>
  <c r="R8" i="10"/>
  <c r="Q8" i="10"/>
  <c r="P8" i="10"/>
  <c r="O8" i="10"/>
  <c r="N8" i="10"/>
  <c r="M8" i="10"/>
  <c r="L8" i="10"/>
  <c r="K8" i="10"/>
  <c r="J8" i="10"/>
  <c r="I8" i="10"/>
  <c r="H8" i="10"/>
  <c r="E8" i="10" a="1"/>
  <c r="E8" i="10" s="1"/>
  <c r="F7" i="10" s="1"/>
  <c r="B8" i="10" a="1"/>
  <c r="B8" i="10" s="1"/>
  <c r="R7" i="10"/>
  <c r="Q7" i="10"/>
  <c r="P7" i="10"/>
  <c r="O7" i="10"/>
  <c r="N7" i="10"/>
  <c r="M7" i="10"/>
  <c r="L7" i="10"/>
  <c r="K7" i="10"/>
  <c r="J7" i="10"/>
  <c r="I7" i="10"/>
  <c r="H7" i="10"/>
  <c r="D7" i="10" a="1"/>
  <c r="D7" i="10" s="1"/>
  <c r="E6" i="10" s="1"/>
  <c r="B7" i="10" a="1"/>
  <c r="B7" i="10" s="1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C6" i="10" a="1"/>
  <c r="C6" i="10" s="1"/>
  <c r="D5" i="10" s="1"/>
  <c r="B6" i="10" a="1"/>
  <c r="B6" i="10" s="1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B5" i="10" a="1"/>
  <c r="B5" i="10" s="1"/>
  <c r="R4" i="10" a="1"/>
  <c r="R4" i="10" s="1"/>
  <c r="Q4" i="10" a="1"/>
  <c r="Q4" i="10" s="1"/>
  <c r="P4" i="10" a="1"/>
  <c r="P4" i="10" s="1"/>
  <c r="O4" i="10" a="1"/>
  <c r="O4" i="10" s="1"/>
  <c r="N4" i="10" a="1"/>
  <c r="N4" i="10" s="1"/>
  <c r="M4" i="10" a="1"/>
  <c r="M4" i="10" s="1"/>
  <c r="L4" i="10" a="1"/>
  <c r="L4" i="10" s="1"/>
  <c r="K4" i="10" a="1"/>
  <c r="K4" i="10" s="1"/>
  <c r="J4" i="10" a="1"/>
  <c r="J4" i="10" s="1"/>
  <c r="I4" i="10" a="1"/>
  <c r="I4" i="10" s="1"/>
  <c r="H4" i="10" a="1"/>
  <c r="H4" i="10" s="1"/>
  <c r="G4" i="10" a="1"/>
  <c r="G4" i="10" s="1"/>
  <c r="F4" i="10" a="1"/>
  <c r="F4" i="10" s="1"/>
  <c r="E4" i="10" a="1"/>
  <c r="E4" i="10" s="1"/>
  <c r="D4" i="10" a="1"/>
  <c r="D4" i="10" s="1"/>
  <c r="C4" i="10" a="1"/>
  <c r="C4" i="10" s="1"/>
  <c r="R3" i="10"/>
  <c r="Q3" i="10"/>
  <c r="P3" i="10"/>
  <c r="O3" i="10"/>
  <c r="J3" i="10"/>
  <c r="I3" i="10"/>
  <c r="H3" i="10"/>
  <c r="G3" i="10"/>
  <c r="E3" i="10"/>
  <c r="D3" i="10"/>
  <c r="C3" i="10" a="1"/>
  <c r="L3" i="10" s="1"/>
  <c r="C3" i="10"/>
  <c r="A3" i="10" a="1"/>
  <c r="A3" i="10" s="1"/>
  <c r="B20" i="9" a="1"/>
  <c r="B20" i="9" s="1"/>
  <c r="R19" i="9" a="1"/>
  <c r="R19" i="9"/>
  <c r="P19" i="9" a="1"/>
  <c r="P19" i="9" s="1"/>
  <c r="Q18" i="9" s="1"/>
  <c r="B19" i="9" a="1"/>
  <c r="B19" i="9" s="1"/>
  <c r="R18" i="9"/>
  <c r="B18" i="9" a="1"/>
  <c r="B18" i="9" s="1"/>
  <c r="R17" i="9"/>
  <c r="Q17" i="9"/>
  <c r="P17" i="9"/>
  <c r="B17" i="9" a="1"/>
  <c r="B17" i="9" s="1"/>
  <c r="R16" i="9"/>
  <c r="Q16" i="9"/>
  <c r="P16" i="9"/>
  <c r="O16" i="9"/>
  <c r="M16" i="9" a="1"/>
  <c r="M16" i="9" s="1"/>
  <c r="N15" i="9" s="1"/>
  <c r="L16" i="9" a="1"/>
  <c r="L16" i="9" s="1"/>
  <c r="N14" i="9" s="1"/>
  <c r="B16" i="9" a="1"/>
  <c r="B16" i="9" s="1"/>
  <c r="R15" i="9"/>
  <c r="Q15" i="9"/>
  <c r="P15" i="9"/>
  <c r="O15" i="9"/>
  <c r="L15" i="9" a="1"/>
  <c r="L15" i="9" s="1"/>
  <c r="M14" i="9" s="1"/>
  <c r="B15" i="9" a="1"/>
  <c r="B15" i="9" s="1"/>
  <c r="R14" i="9"/>
  <c r="Q14" i="9"/>
  <c r="P14" i="9"/>
  <c r="O14" i="9"/>
  <c r="B14" i="9" a="1"/>
  <c r="B14" i="9" s="1"/>
  <c r="R13" i="9"/>
  <c r="Q13" i="9"/>
  <c r="P13" i="9"/>
  <c r="O13" i="9"/>
  <c r="N13" i="9"/>
  <c r="M13" i="9"/>
  <c r="L13" i="9"/>
  <c r="J13" i="9" a="1"/>
  <c r="J13" i="9" s="1"/>
  <c r="K12" i="9" s="1"/>
  <c r="I13" i="9" a="1"/>
  <c r="I13" i="9" s="1"/>
  <c r="K11" i="9" s="1"/>
  <c r="B13" i="9" a="1"/>
  <c r="B13" i="9" s="1"/>
  <c r="R12" i="9"/>
  <c r="Q12" i="9"/>
  <c r="P12" i="9"/>
  <c r="O12" i="9"/>
  <c r="N12" i="9"/>
  <c r="M12" i="9"/>
  <c r="L12" i="9"/>
  <c r="I12" i="9" a="1"/>
  <c r="I12" i="9" s="1"/>
  <c r="J11" i="9" s="1"/>
  <c r="B12" i="9" a="1"/>
  <c r="B12" i="9" s="1"/>
  <c r="R11" i="9"/>
  <c r="Q11" i="9"/>
  <c r="P11" i="9"/>
  <c r="O11" i="9"/>
  <c r="N11" i="9"/>
  <c r="M11" i="9"/>
  <c r="L11" i="9"/>
  <c r="B11" i="9" a="1"/>
  <c r="B11" i="9" s="1"/>
  <c r="R10" i="9"/>
  <c r="Q10" i="9"/>
  <c r="P10" i="9"/>
  <c r="O10" i="9"/>
  <c r="N10" i="9"/>
  <c r="M10" i="9"/>
  <c r="L10" i="9"/>
  <c r="K10" i="9"/>
  <c r="J10" i="9"/>
  <c r="I10" i="9"/>
  <c r="G10" i="9" a="1"/>
  <c r="G10" i="9" s="1"/>
  <c r="H9" i="9" s="1"/>
  <c r="F10" i="9" a="1"/>
  <c r="F10" i="9" s="1"/>
  <c r="H8" i="9" s="1"/>
  <c r="B10" i="9" a="1"/>
  <c r="B10" i="9" s="1"/>
  <c r="R9" i="9"/>
  <c r="Q9" i="9"/>
  <c r="P9" i="9"/>
  <c r="O9" i="9"/>
  <c r="N9" i="9"/>
  <c r="M9" i="9"/>
  <c r="L9" i="9"/>
  <c r="K9" i="9"/>
  <c r="J9" i="9"/>
  <c r="I9" i="9"/>
  <c r="F9" i="9" a="1"/>
  <c r="F9" i="9" s="1"/>
  <c r="G8" i="9" s="1"/>
  <c r="B9" i="9" a="1"/>
  <c r="B9" i="9" s="1"/>
  <c r="R8" i="9"/>
  <c r="Q8" i="9"/>
  <c r="P8" i="9"/>
  <c r="O8" i="9"/>
  <c r="N8" i="9"/>
  <c r="M8" i="9"/>
  <c r="L8" i="9"/>
  <c r="K8" i="9"/>
  <c r="J8" i="9"/>
  <c r="I8" i="9"/>
  <c r="B8" i="9" a="1"/>
  <c r="B8" i="9" s="1"/>
  <c r="R7" i="9"/>
  <c r="Q7" i="9"/>
  <c r="P7" i="9"/>
  <c r="O7" i="9"/>
  <c r="N7" i="9"/>
  <c r="M7" i="9"/>
  <c r="L7" i="9"/>
  <c r="K7" i="9"/>
  <c r="J7" i="9"/>
  <c r="I7" i="9"/>
  <c r="H7" i="9"/>
  <c r="G7" i="9"/>
  <c r="F7" i="9"/>
  <c r="D7" i="9" a="1"/>
  <c r="D7" i="9" s="1"/>
  <c r="E6" i="9" s="1"/>
  <c r="C7" i="9" a="1"/>
  <c r="C7" i="9" s="1"/>
  <c r="E5" i="9" s="1"/>
  <c r="B7" i="9" a="1"/>
  <c r="B7" i="9" s="1"/>
  <c r="R6" i="9"/>
  <c r="Q6" i="9"/>
  <c r="P6" i="9"/>
  <c r="O6" i="9"/>
  <c r="N6" i="9"/>
  <c r="M6" i="9"/>
  <c r="L6" i="9"/>
  <c r="K6" i="9"/>
  <c r="J6" i="9"/>
  <c r="I6" i="9"/>
  <c r="H6" i="9"/>
  <c r="G6" i="9"/>
  <c r="F6" i="9"/>
  <c r="C6" i="9" a="1"/>
  <c r="C6" i="9" s="1"/>
  <c r="D5" i="9" s="1"/>
  <c r="B6" i="9" a="1"/>
  <c r="B6" i="9" s="1"/>
  <c r="R5" i="9"/>
  <c r="Q5" i="9"/>
  <c r="P5" i="9"/>
  <c r="O5" i="9"/>
  <c r="N5" i="9"/>
  <c r="M5" i="9"/>
  <c r="L5" i="9"/>
  <c r="K5" i="9"/>
  <c r="J5" i="9"/>
  <c r="I5" i="9"/>
  <c r="H5" i="9"/>
  <c r="G5" i="9"/>
  <c r="F5" i="9"/>
  <c r="B5" i="9" a="1"/>
  <c r="B5" i="9" s="1"/>
  <c r="R4" i="9" a="1"/>
  <c r="R4" i="9" s="1"/>
  <c r="Q4" i="9" a="1"/>
  <c r="Q4" i="9" s="1"/>
  <c r="P4" i="9" a="1"/>
  <c r="P4" i="9" s="1"/>
  <c r="O4" i="9" a="1"/>
  <c r="O4" i="9" s="1"/>
  <c r="N4" i="9" a="1"/>
  <c r="N4" i="9" s="1"/>
  <c r="M4" i="9" a="1"/>
  <c r="M4" i="9" s="1"/>
  <c r="L4" i="9" a="1"/>
  <c r="L4" i="9" s="1"/>
  <c r="K4" i="9" a="1"/>
  <c r="K4" i="9" s="1"/>
  <c r="J4" i="9" a="1"/>
  <c r="J4" i="9" s="1"/>
  <c r="I4" i="9" a="1"/>
  <c r="I4" i="9" s="1"/>
  <c r="H4" i="9" a="1"/>
  <c r="H4" i="9" s="1"/>
  <c r="G4" i="9" a="1"/>
  <c r="G4" i="9" s="1"/>
  <c r="F4" i="9" a="1"/>
  <c r="F4" i="9" s="1"/>
  <c r="E4" i="9" a="1"/>
  <c r="E4" i="9" s="1"/>
  <c r="D4" i="9" a="1"/>
  <c r="D4" i="9" s="1"/>
  <c r="C4" i="9" a="1"/>
  <c r="C4" i="9" s="1"/>
  <c r="Q3" i="9"/>
  <c r="P3" i="9"/>
  <c r="L3" i="9"/>
  <c r="K3" i="9"/>
  <c r="J3" i="9"/>
  <c r="I3" i="9"/>
  <c r="F3" i="9"/>
  <c r="D3" i="9"/>
  <c r="C3" i="9" a="1"/>
  <c r="C3" i="9"/>
  <c r="A3" i="9" a="1"/>
  <c r="A3" i="9" s="1"/>
  <c r="B20" i="8" a="1"/>
  <c r="B20" i="8" s="1"/>
  <c r="B19" i="8" a="1"/>
  <c r="B19" i="8" s="1"/>
  <c r="B18" i="8" a="1"/>
  <c r="B18" i="8" s="1"/>
  <c r="O17" i="8" a="1"/>
  <c r="O17" i="8" s="1"/>
  <c r="B17" i="8" a="1"/>
  <c r="B17" i="8" s="1"/>
  <c r="B16" i="8" a="1"/>
  <c r="B16" i="8" s="1"/>
  <c r="B15" i="8" a="1"/>
  <c r="B15" i="8" s="1"/>
  <c r="L14" i="8" a="1"/>
  <c r="L14" i="8" s="1"/>
  <c r="B14" i="8" a="1"/>
  <c r="B14" i="8" s="1"/>
  <c r="I13" i="8" a="1"/>
  <c r="I13" i="8" s="1"/>
  <c r="B13" i="8" a="1"/>
  <c r="B13" i="8" s="1"/>
  <c r="J12" i="8" a="1"/>
  <c r="J12" i="8" s="1"/>
  <c r="G12" i="8" a="1"/>
  <c r="G12" i="8" s="1"/>
  <c r="B12" i="8" a="1"/>
  <c r="B12" i="8" s="1"/>
  <c r="K11" i="8" a="1"/>
  <c r="K11" i="8" s="1"/>
  <c r="I11" i="8" a="1"/>
  <c r="I11" i="8" s="1"/>
  <c r="E11" i="8" a="1"/>
  <c r="E11" i="8" s="1"/>
  <c r="B11" i="8" a="1"/>
  <c r="B11" i="8" s="1"/>
  <c r="D10" i="8" a="1"/>
  <c r="D10" i="8" s="1"/>
  <c r="B10" i="8" a="1"/>
  <c r="B10" i="8" s="1"/>
  <c r="J9" i="8" a="1"/>
  <c r="J9" i="8" s="1"/>
  <c r="G9" i="8" a="1"/>
  <c r="G9" i="8" s="1"/>
  <c r="B9" i="8" a="1"/>
  <c r="B9" i="8" s="1"/>
  <c r="F8" i="8" a="1"/>
  <c r="F8" i="8" s="1"/>
  <c r="E8" i="8" a="1"/>
  <c r="E8" i="8" s="1"/>
  <c r="B8" i="8" a="1"/>
  <c r="B8" i="8" s="1"/>
  <c r="I7" i="8" a="1"/>
  <c r="I7" i="8" s="1"/>
  <c r="F7" i="8" a="1"/>
  <c r="F7" i="8" s="1"/>
  <c r="E7" i="8" a="1"/>
  <c r="E7" i="8" s="1"/>
  <c r="D7" i="8" a="1"/>
  <c r="D7" i="8" s="1"/>
  <c r="B7" i="8" a="1"/>
  <c r="B7" i="8" s="1"/>
  <c r="H6" i="8" a="1"/>
  <c r="H6" i="8" s="1"/>
  <c r="E6" i="8" a="1"/>
  <c r="E6" i="8" s="1"/>
  <c r="D6" i="8" a="1"/>
  <c r="D6" i="8" s="1"/>
  <c r="B6" i="8" a="1"/>
  <c r="B6" i="8" s="1"/>
  <c r="C5" i="8" a="1"/>
  <c r="C5" i="8" s="1"/>
  <c r="B5" i="8" a="1"/>
  <c r="B5" i="8" s="1"/>
  <c r="R4" i="8" a="1"/>
  <c r="R4" i="8" s="1"/>
  <c r="Q4" i="8" a="1"/>
  <c r="Q4" i="8" s="1"/>
  <c r="P4" i="8" a="1"/>
  <c r="P4" i="8" s="1"/>
  <c r="O4" i="8" a="1"/>
  <c r="O4" i="8" s="1"/>
  <c r="N4" i="8" a="1"/>
  <c r="N4" i="8" s="1"/>
  <c r="M4" i="8" a="1"/>
  <c r="M4" i="8" s="1"/>
  <c r="L4" i="8" a="1"/>
  <c r="L4" i="8" s="1"/>
  <c r="K4" i="8" a="1"/>
  <c r="K4" i="8" s="1"/>
  <c r="J4" i="8" a="1"/>
  <c r="J4" i="8" s="1"/>
  <c r="I4" i="8" a="1"/>
  <c r="I4" i="8" s="1"/>
  <c r="H4" i="8" a="1"/>
  <c r="H4" i="8" s="1"/>
  <c r="G4" i="8" a="1"/>
  <c r="G4" i="8" s="1"/>
  <c r="F4" i="8" a="1"/>
  <c r="F4" i="8" s="1"/>
  <c r="E4" i="8" a="1"/>
  <c r="E4" i="8" s="1"/>
  <c r="D4" i="8" a="1"/>
  <c r="D4" i="8" s="1"/>
  <c r="C4" i="8" a="1"/>
  <c r="C4" i="8" s="1"/>
  <c r="B20" i="7" a="1"/>
  <c r="B20" i="7" s="1"/>
  <c r="R19" i="7" a="1"/>
  <c r="R19" i="7"/>
  <c r="Q19" i="7" a="1"/>
  <c r="Q19" i="7" s="1"/>
  <c r="B19" i="7" a="1"/>
  <c r="B19" i="7" s="1"/>
  <c r="R18" i="7"/>
  <c r="Q18" i="7"/>
  <c r="O18" i="7" a="1"/>
  <c r="O18" i="7" s="1"/>
  <c r="P17" i="7" s="1"/>
  <c r="B18" i="7" a="1"/>
  <c r="B18" i="7" s="1"/>
  <c r="R17" i="7"/>
  <c r="Q17" i="7"/>
  <c r="B17" i="7" a="1"/>
  <c r="B17" i="7" s="1"/>
  <c r="R16" i="7"/>
  <c r="Q16" i="7"/>
  <c r="P16" i="7"/>
  <c r="O16" i="7"/>
  <c r="L16" i="7" a="1"/>
  <c r="L16" i="7" s="1"/>
  <c r="N14" i="7" s="1"/>
  <c r="B16" i="7" a="1"/>
  <c r="B16" i="7" s="1"/>
  <c r="R15" i="7"/>
  <c r="Q15" i="7"/>
  <c r="P15" i="7"/>
  <c r="O15" i="7"/>
  <c r="N15" i="7"/>
  <c r="K15" i="7" a="1"/>
  <c r="K15" i="7" s="1"/>
  <c r="M13" i="7" s="1"/>
  <c r="J15" i="7" a="1"/>
  <c r="J15" i="7" s="1"/>
  <c r="M12" i="7" s="1"/>
  <c r="B15" i="7" a="1"/>
  <c r="B15" i="7" s="1"/>
  <c r="R14" i="7"/>
  <c r="Q14" i="7"/>
  <c r="P14" i="7"/>
  <c r="O14" i="7"/>
  <c r="M14" i="7"/>
  <c r="B14" i="7" a="1"/>
  <c r="B14" i="7" s="1"/>
  <c r="R13" i="7"/>
  <c r="Q13" i="7"/>
  <c r="P13" i="7"/>
  <c r="O13" i="7"/>
  <c r="N13" i="7"/>
  <c r="L13" i="7"/>
  <c r="I13" i="7" a="1"/>
  <c r="I13" i="7" s="1"/>
  <c r="K11" i="7" s="1"/>
  <c r="B13" i="7" a="1"/>
  <c r="B13" i="7" s="1"/>
  <c r="R12" i="7"/>
  <c r="Q12" i="7"/>
  <c r="P12" i="7"/>
  <c r="O12" i="7"/>
  <c r="N12" i="7"/>
  <c r="L12" i="7"/>
  <c r="K12" i="7"/>
  <c r="H12" i="7" a="1"/>
  <c r="H12" i="7" s="1"/>
  <c r="J10" i="7" s="1"/>
  <c r="B12" i="7" a="1"/>
  <c r="B12" i="7" s="1"/>
  <c r="R11" i="7"/>
  <c r="Q11" i="7"/>
  <c r="P11" i="7"/>
  <c r="O11" i="7"/>
  <c r="N11" i="7"/>
  <c r="M11" i="7"/>
  <c r="L11" i="7"/>
  <c r="J11" i="7"/>
  <c r="G11" i="7" a="1"/>
  <c r="G11" i="7" s="1"/>
  <c r="I9" i="7" s="1"/>
  <c r="B11" i="7" a="1"/>
  <c r="B11" i="7" s="1"/>
  <c r="R10" i="7"/>
  <c r="Q10" i="7"/>
  <c r="P10" i="7"/>
  <c r="O10" i="7"/>
  <c r="N10" i="7"/>
  <c r="M10" i="7"/>
  <c r="L10" i="7"/>
  <c r="K10" i="7"/>
  <c r="I10" i="7"/>
  <c r="F10" i="7" a="1"/>
  <c r="F10" i="7" s="1"/>
  <c r="H8" i="7" s="1"/>
  <c r="B10" i="7" a="1"/>
  <c r="B10" i="7" s="1"/>
  <c r="R9" i="7"/>
  <c r="Q9" i="7"/>
  <c r="P9" i="7"/>
  <c r="O9" i="7"/>
  <c r="N9" i="7"/>
  <c r="M9" i="7"/>
  <c r="L9" i="7"/>
  <c r="K9" i="7"/>
  <c r="J9" i="7"/>
  <c r="H9" i="7"/>
  <c r="E9" i="7" a="1"/>
  <c r="E9" i="7" s="1"/>
  <c r="G7" i="7" s="1"/>
  <c r="B9" i="7" a="1"/>
  <c r="B9" i="7" s="1"/>
  <c r="R8" i="7"/>
  <c r="Q8" i="7"/>
  <c r="P8" i="7"/>
  <c r="O8" i="7"/>
  <c r="N8" i="7"/>
  <c r="M8" i="7"/>
  <c r="L8" i="7"/>
  <c r="K8" i="7"/>
  <c r="J8" i="7"/>
  <c r="I8" i="7"/>
  <c r="G8" i="7"/>
  <c r="D8" i="7" a="1"/>
  <c r="D8" i="7" s="1"/>
  <c r="F6" i="7" s="1"/>
  <c r="B8" i="7" a="1"/>
  <c r="B8" i="7" s="1"/>
  <c r="R7" i="7"/>
  <c r="Q7" i="7"/>
  <c r="P7" i="7"/>
  <c r="O7" i="7"/>
  <c r="N7" i="7"/>
  <c r="M7" i="7"/>
  <c r="L7" i="7"/>
  <c r="K7" i="7"/>
  <c r="J7" i="7"/>
  <c r="I7" i="7"/>
  <c r="H7" i="7"/>
  <c r="F7" i="7"/>
  <c r="D7" i="7" a="1"/>
  <c r="D7" i="7" s="1"/>
  <c r="E6" i="7" s="1"/>
  <c r="B7" i="7" a="1"/>
  <c r="B7" i="7" s="1"/>
  <c r="R6" i="7"/>
  <c r="Q6" i="7"/>
  <c r="P6" i="7"/>
  <c r="O6" i="7"/>
  <c r="N6" i="7"/>
  <c r="M6" i="7"/>
  <c r="L6" i="7"/>
  <c r="K6" i="7"/>
  <c r="J6" i="7"/>
  <c r="I6" i="7"/>
  <c r="H6" i="7"/>
  <c r="G6" i="7"/>
  <c r="D6" i="7" a="1"/>
  <c r="D6" i="7" s="1"/>
  <c r="C6" i="7" a="1"/>
  <c r="C6" i="7" s="1"/>
  <c r="D5" i="7" s="1"/>
  <c r="B6" i="7" a="1"/>
  <c r="B6" i="7" s="1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C5" i="7" a="1"/>
  <c r="C5" i="7" s="1"/>
  <c r="B5" i="7" a="1"/>
  <c r="B5" i="7" s="1"/>
  <c r="R4" i="7" a="1"/>
  <c r="R4" i="7" s="1"/>
  <c r="Q4" i="7" a="1"/>
  <c r="Q4" i="7" s="1"/>
  <c r="P4" i="7" a="1"/>
  <c r="P4" i="7" s="1"/>
  <c r="O4" i="7" a="1"/>
  <c r="O4" i="7" s="1"/>
  <c r="N4" i="7" a="1"/>
  <c r="N4" i="7" s="1"/>
  <c r="M4" i="7" a="1"/>
  <c r="M4" i="7" s="1"/>
  <c r="L4" i="7" a="1"/>
  <c r="L4" i="7" s="1"/>
  <c r="K4" i="7" a="1"/>
  <c r="K4" i="7" s="1"/>
  <c r="J4" i="7" a="1"/>
  <c r="J4" i="7" s="1"/>
  <c r="I4" i="7" a="1"/>
  <c r="I4" i="7" s="1"/>
  <c r="H4" i="7" a="1"/>
  <c r="H4" i="7" s="1"/>
  <c r="G4" i="7" a="1"/>
  <c r="G4" i="7" s="1"/>
  <c r="F4" i="7" a="1"/>
  <c r="F4" i="7" s="1"/>
  <c r="E4" i="7" a="1"/>
  <c r="E4" i="7" s="1"/>
  <c r="D4" i="7" a="1"/>
  <c r="D4" i="7" s="1"/>
  <c r="C4" i="7" a="1"/>
  <c r="C4" i="7" s="1"/>
  <c r="A3" i="7" a="1"/>
  <c r="A3" i="7" s="1"/>
  <c r="B20" i="6" a="1"/>
  <c r="B20" i="6" s="1"/>
  <c r="R19" i="6" a="1"/>
  <c r="R19" i="6"/>
  <c r="P19" i="6" a="1"/>
  <c r="P19" i="6" s="1"/>
  <c r="B19" i="6" a="1"/>
  <c r="B19" i="6" s="1"/>
  <c r="R18" i="6"/>
  <c r="B18" i="6" a="1"/>
  <c r="B18" i="6" s="1"/>
  <c r="R17" i="6"/>
  <c r="Q17" i="6"/>
  <c r="P17" i="6"/>
  <c r="B17" i="6" a="1"/>
  <c r="B17" i="6" s="1"/>
  <c r="R16" i="6"/>
  <c r="Q16" i="6"/>
  <c r="P16" i="6"/>
  <c r="O16" i="6"/>
  <c r="M16" i="6" a="1"/>
  <c r="M16" i="6" s="1"/>
  <c r="L16" i="6" a="1"/>
  <c r="L16" i="6" s="1"/>
  <c r="B16" i="6" a="1"/>
  <c r="B16" i="6" s="1"/>
  <c r="R15" i="6"/>
  <c r="Q15" i="6"/>
  <c r="P15" i="6"/>
  <c r="O15" i="6"/>
  <c r="L15" i="6" a="1"/>
  <c r="L15" i="6" s="1"/>
  <c r="B15" i="6" a="1"/>
  <c r="B15" i="6" s="1"/>
  <c r="R14" i="6"/>
  <c r="Q14" i="6"/>
  <c r="P14" i="6"/>
  <c r="O14" i="6"/>
  <c r="B14" i="6" a="1"/>
  <c r="B14" i="6" s="1"/>
  <c r="R13" i="6"/>
  <c r="Q13" i="6"/>
  <c r="P13" i="6"/>
  <c r="O13" i="6"/>
  <c r="N13" i="6"/>
  <c r="M13" i="6"/>
  <c r="L13" i="6"/>
  <c r="J13" i="6" a="1"/>
  <c r="J13" i="6" s="1"/>
  <c r="I13" i="6" a="1"/>
  <c r="I13" i="6" s="1"/>
  <c r="B13" i="6" a="1"/>
  <c r="B13" i="6" s="1"/>
  <c r="R12" i="6"/>
  <c r="Q12" i="6"/>
  <c r="P12" i="6"/>
  <c r="O12" i="6"/>
  <c r="N12" i="6"/>
  <c r="M12" i="6"/>
  <c r="L12" i="6"/>
  <c r="I12" i="6" a="1"/>
  <c r="I12" i="6" s="1"/>
  <c r="B12" i="6" a="1"/>
  <c r="B12" i="6" s="1"/>
  <c r="R11" i="6"/>
  <c r="Q11" i="6"/>
  <c r="P11" i="6"/>
  <c r="O11" i="6"/>
  <c r="N11" i="6"/>
  <c r="M11" i="6"/>
  <c r="L11" i="6"/>
  <c r="B11" i="6" a="1"/>
  <c r="B11" i="6" s="1"/>
  <c r="R10" i="6"/>
  <c r="Q10" i="6"/>
  <c r="P10" i="6"/>
  <c r="O10" i="6"/>
  <c r="N10" i="6"/>
  <c r="M10" i="6"/>
  <c r="L10" i="6"/>
  <c r="K10" i="6"/>
  <c r="J10" i="6"/>
  <c r="I10" i="6"/>
  <c r="G10" i="6" a="1"/>
  <c r="G10" i="6" s="1"/>
  <c r="F10" i="6" a="1"/>
  <c r="F10" i="6" s="1"/>
  <c r="B10" i="6" a="1"/>
  <c r="B10" i="6" s="1"/>
  <c r="R9" i="6"/>
  <c r="Q9" i="6"/>
  <c r="P9" i="6"/>
  <c r="O9" i="6"/>
  <c r="N9" i="6"/>
  <c r="M9" i="6"/>
  <c r="L9" i="6"/>
  <c r="K9" i="6"/>
  <c r="J9" i="6"/>
  <c r="I9" i="6"/>
  <c r="F9" i="6" a="1"/>
  <c r="F9" i="6" s="1"/>
  <c r="B9" i="6" a="1"/>
  <c r="B9" i="6" s="1"/>
  <c r="R8" i="6"/>
  <c r="Q8" i="6"/>
  <c r="P8" i="6"/>
  <c r="O8" i="6"/>
  <c r="N8" i="6"/>
  <c r="M8" i="6"/>
  <c r="L8" i="6"/>
  <c r="K8" i="6"/>
  <c r="J8" i="6"/>
  <c r="I8" i="6"/>
  <c r="B8" i="6" a="1"/>
  <c r="B8" i="6" s="1"/>
  <c r="R7" i="6"/>
  <c r="Q7" i="6"/>
  <c r="P7" i="6"/>
  <c r="O7" i="6"/>
  <c r="N7" i="6"/>
  <c r="M7" i="6"/>
  <c r="L7" i="6"/>
  <c r="K7" i="6"/>
  <c r="J7" i="6"/>
  <c r="I7" i="6"/>
  <c r="H7" i="6"/>
  <c r="G7" i="6"/>
  <c r="F7" i="6"/>
  <c r="D7" i="6" a="1"/>
  <c r="D7" i="6" s="1"/>
  <c r="E6" i="6" s="1"/>
  <c r="C7" i="6" a="1"/>
  <c r="C7" i="6" s="1"/>
  <c r="E5" i="6" s="1"/>
  <c r="B7" i="6" a="1"/>
  <c r="B7" i="6" s="1"/>
  <c r="R6" i="6"/>
  <c r="Q6" i="6"/>
  <c r="P6" i="6"/>
  <c r="O6" i="6"/>
  <c r="N6" i="6"/>
  <c r="M6" i="6"/>
  <c r="L6" i="6"/>
  <c r="K6" i="6"/>
  <c r="J6" i="6"/>
  <c r="I6" i="6"/>
  <c r="G6" i="6"/>
  <c r="F6" i="6"/>
  <c r="C6" i="6" a="1"/>
  <c r="C6" i="6" s="1"/>
  <c r="B6" i="6" a="1"/>
  <c r="B6" i="6" s="1"/>
  <c r="R5" i="6"/>
  <c r="Q5" i="6"/>
  <c r="P5" i="6"/>
  <c r="O5" i="6"/>
  <c r="N5" i="6"/>
  <c r="M5" i="6"/>
  <c r="L5" i="6"/>
  <c r="K5" i="6"/>
  <c r="J5" i="6"/>
  <c r="I5" i="6"/>
  <c r="H5" i="6"/>
  <c r="G5" i="6"/>
  <c r="F5" i="6"/>
  <c r="B5" i="6" a="1"/>
  <c r="B5" i="6" s="1"/>
  <c r="R4" i="6" a="1"/>
  <c r="R4" i="6" s="1"/>
  <c r="Q4" i="6" a="1"/>
  <c r="Q4" i="6" s="1"/>
  <c r="P4" i="6" a="1"/>
  <c r="P4" i="6" s="1"/>
  <c r="O4" i="6" a="1"/>
  <c r="O4" i="6" s="1"/>
  <c r="N4" i="6" a="1"/>
  <c r="N4" i="6" s="1"/>
  <c r="M4" i="6" a="1"/>
  <c r="M4" i="6" s="1"/>
  <c r="L4" i="6" a="1"/>
  <c r="L4" i="6" s="1"/>
  <c r="K4" i="6" a="1"/>
  <c r="K4" i="6" s="1"/>
  <c r="J4" i="6" a="1"/>
  <c r="J4" i="6" s="1"/>
  <c r="I4" i="6" a="1"/>
  <c r="I4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C4" i="6" a="1"/>
  <c r="C4" i="6" s="1"/>
  <c r="R3" i="6"/>
  <c r="Q3" i="6"/>
  <c r="P3" i="6"/>
  <c r="O3" i="6"/>
  <c r="N3" i="6"/>
  <c r="M3" i="6"/>
  <c r="L3" i="6"/>
  <c r="K3" i="6"/>
  <c r="J3" i="6"/>
  <c r="I3" i="6"/>
  <c r="G3" i="6"/>
  <c r="D3" i="6"/>
  <c r="C3" i="6" a="1"/>
  <c r="C3" i="6"/>
  <c r="A3" i="6" a="1"/>
  <c r="A3" i="6" s="1"/>
  <c r="B3" i="3" a="1"/>
  <c r="Q3" i="3" s="1"/>
  <c r="B20" i="2" a="1"/>
  <c r="B20" i="2" s="1"/>
  <c r="R19" i="2" a="1"/>
  <c r="R19" i="2" s="1"/>
  <c r="O19" i="2" a="1"/>
  <c r="O19" i="2" s="1"/>
  <c r="Q17" i="2" s="1"/>
  <c r="B19" i="2" a="1"/>
  <c r="B19" i="2" s="1"/>
  <c r="R18" i="2"/>
  <c r="Q18" i="2"/>
  <c r="B18" i="2" a="1"/>
  <c r="B18" i="2" s="1"/>
  <c r="R17" i="2"/>
  <c r="P17" i="2"/>
  <c r="B17" i="2" a="1"/>
  <c r="B17" i="2" s="1"/>
  <c r="R16" i="2"/>
  <c r="Q16" i="2"/>
  <c r="P16" i="2"/>
  <c r="O16" i="2"/>
  <c r="M16" i="2" a="1"/>
  <c r="M16" i="2" s="1"/>
  <c r="N15" i="2" s="1"/>
  <c r="B16" i="2" a="1"/>
  <c r="B16" i="2" s="1"/>
  <c r="R15" i="2"/>
  <c r="Q15" i="2"/>
  <c r="P15" i="2"/>
  <c r="O15" i="2"/>
  <c r="L15" i="2" a="1"/>
  <c r="L15" i="2" s="1"/>
  <c r="M14" i="2" s="1"/>
  <c r="K15" i="2" a="1"/>
  <c r="K15" i="2" s="1"/>
  <c r="M13" i="2" s="1"/>
  <c r="B15" i="2" a="1"/>
  <c r="B15" i="2" s="1"/>
  <c r="R14" i="2"/>
  <c r="Q14" i="2"/>
  <c r="P14" i="2"/>
  <c r="O14" i="2"/>
  <c r="N14" i="2"/>
  <c r="B14" i="2" a="1"/>
  <c r="B14" i="2" s="1"/>
  <c r="R13" i="2"/>
  <c r="Q13" i="2"/>
  <c r="P13" i="2"/>
  <c r="O13" i="2"/>
  <c r="N13" i="2"/>
  <c r="L13" i="2"/>
  <c r="J13" i="2" a="1"/>
  <c r="J13" i="2" s="1"/>
  <c r="K12" i="2" s="1"/>
  <c r="B13" i="2" a="1"/>
  <c r="B13" i="2" s="1"/>
  <c r="R12" i="2"/>
  <c r="Q12" i="2"/>
  <c r="P12" i="2"/>
  <c r="O12" i="2"/>
  <c r="N12" i="2"/>
  <c r="M12" i="2"/>
  <c r="L12" i="2"/>
  <c r="I12" i="2" a="1"/>
  <c r="I12" i="2" s="1"/>
  <c r="J11" i="2" s="1"/>
  <c r="B12" i="2" a="1"/>
  <c r="B12" i="2" s="1"/>
  <c r="R11" i="2"/>
  <c r="Q11" i="2"/>
  <c r="P11" i="2"/>
  <c r="O11" i="2"/>
  <c r="N11" i="2"/>
  <c r="M11" i="2"/>
  <c r="L11" i="2"/>
  <c r="K11" i="2"/>
  <c r="H11" i="2" a="1"/>
  <c r="H11" i="2" s="1"/>
  <c r="I10" i="2" s="1"/>
  <c r="B11" i="2" a="1"/>
  <c r="B11" i="2" s="1"/>
  <c r="R10" i="2"/>
  <c r="Q10" i="2"/>
  <c r="P10" i="2"/>
  <c r="O10" i="2"/>
  <c r="N10" i="2"/>
  <c r="M10" i="2"/>
  <c r="L10" i="2"/>
  <c r="K10" i="2"/>
  <c r="J10" i="2"/>
  <c r="G10" i="2" a="1"/>
  <c r="G10" i="2" s="1"/>
  <c r="H9" i="2" s="1"/>
  <c r="B10" i="2" a="1"/>
  <c r="B10" i="2" s="1"/>
  <c r="R9" i="2"/>
  <c r="Q9" i="2"/>
  <c r="P9" i="2"/>
  <c r="O9" i="2"/>
  <c r="N9" i="2"/>
  <c r="M9" i="2"/>
  <c r="L9" i="2"/>
  <c r="K9" i="2"/>
  <c r="J9" i="2"/>
  <c r="I9" i="2"/>
  <c r="F9" i="2" a="1"/>
  <c r="F9" i="2" s="1"/>
  <c r="G8" i="2" s="1"/>
  <c r="B9" i="2" a="1"/>
  <c r="B9" i="2" s="1"/>
  <c r="R8" i="2"/>
  <c r="Q8" i="2"/>
  <c r="P8" i="2"/>
  <c r="O8" i="2"/>
  <c r="N8" i="2"/>
  <c r="M8" i="2"/>
  <c r="L8" i="2"/>
  <c r="K8" i="2"/>
  <c r="J8" i="2"/>
  <c r="I8" i="2"/>
  <c r="H8" i="2"/>
  <c r="C8" i="2" a="1"/>
  <c r="C8" i="2" s="1"/>
  <c r="F5" i="2" s="1"/>
  <c r="B8" i="2" a="1"/>
  <c r="B8" i="2" s="1"/>
  <c r="R7" i="2"/>
  <c r="Q7" i="2"/>
  <c r="P7" i="2"/>
  <c r="O7" i="2"/>
  <c r="N7" i="2"/>
  <c r="M7" i="2"/>
  <c r="L7" i="2"/>
  <c r="K7" i="2"/>
  <c r="J7" i="2"/>
  <c r="I7" i="2"/>
  <c r="H7" i="2"/>
  <c r="G7" i="2"/>
  <c r="F7" i="2"/>
  <c r="D7" i="2" a="1"/>
  <c r="D7" i="2" s="1"/>
  <c r="E6" i="2" s="1"/>
  <c r="C7" i="2" a="1"/>
  <c r="C7" i="2" s="1"/>
  <c r="E5" i="2" s="1"/>
  <c r="B7" i="2" a="1"/>
  <c r="B7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C6" i="2" a="1"/>
  <c r="C6" i="2" s="1"/>
  <c r="D5" i="2" s="1"/>
  <c r="B6" i="2" a="1"/>
  <c r="B6" i="2" s="1"/>
  <c r="R5" i="2"/>
  <c r="Q5" i="2"/>
  <c r="P5" i="2"/>
  <c r="O5" i="2"/>
  <c r="N5" i="2"/>
  <c r="M5" i="2"/>
  <c r="L5" i="2"/>
  <c r="K5" i="2"/>
  <c r="J5" i="2"/>
  <c r="I5" i="2"/>
  <c r="H5" i="2"/>
  <c r="G5" i="2"/>
  <c r="B5" i="2" a="1"/>
  <c r="B5" i="2" s="1"/>
  <c r="R4" i="2" a="1"/>
  <c r="R4" i="2" s="1"/>
  <c r="Q4" i="2" a="1"/>
  <c r="Q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R3" i="2"/>
  <c r="Q3" i="2"/>
  <c r="P3" i="2"/>
  <c r="N3" i="2"/>
  <c r="M3" i="2"/>
  <c r="L3" i="2"/>
  <c r="K3" i="2"/>
  <c r="I3" i="2"/>
  <c r="H3" i="2"/>
  <c r="G3" i="2"/>
  <c r="E3" i="2"/>
  <c r="C3" i="2" a="1"/>
  <c r="O3" i="2" s="1"/>
  <c r="C3" i="2"/>
  <c r="A3" i="2" a="1"/>
  <c r="A3" i="2" s="1"/>
  <c r="S3" i="18" l="1" a="1"/>
  <c r="S3" i="18" s="1"/>
  <c r="U92" i="18"/>
  <c r="V92" i="18" s="1"/>
  <c r="U91" i="18"/>
  <c r="V91" i="18" s="1"/>
  <c r="B3" i="3"/>
  <c r="G3" i="3"/>
  <c r="H3" i="3"/>
  <c r="I3" i="3"/>
  <c r="J3" i="3"/>
  <c r="F3" i="3"/>
  <c r="K3" i="3"/>
  <c r="L3" i="3"/>
  <c r="M3" i="3"/>
  <c r="N3" i="3"/>
  <c r="O3" i="3"/>
  <c r="E3" i="3"/>
  <c r="P3" i="3"/>
  <c r="E144" i="12"/>
  <c r="V95" i="18"/>
  <c r="V101" i="18"/>
  <c r="V100" i="18"/>
  <c r="V97" i="18"/>
  <c r="B233" i="12"/>
  <c r="V98" i="18"/>
  <c r="V99" i="18"/>
  <c r="E29" i="12"/>
  <c r="E165" i="12"/>
  <c r="E49" i="12"/>
  <c r="E80" i="12"/>
  <c r="E110" i="12"/>
  <c r="N7" i="12"/>
  <c r="E32" i="16"/>
  <c r="E216" i="12"/>
  <c r="E138" i="12"/>
  <c r="V96" i="18"/>
  <c r="E53" i="12"/>
  <c r="V104" i="18"/>
  <c r="V105" i="18"/>
  <c r="V106" i="18"/>
  <c r="V107" i="18"/>
  <c r="V108" i="18"/>
  <c r="V109" i="18"/>
  <c r="V119" i="18"/>
  <c r="V114" i="18"/>
  <c r="V116" i="18"/>
  <c r="E159" i="12"/>
  <c r="V118" i="18"/>
  <c r="E52" i="12"/>
  <c r="V112" i="18"/>
  <c r="E245" i="12"/>
  <c r="V102" i="18"/>
  <c r="V103" i="18"/>
  <c r="V117" i="18"/>
  <c r="V110" i="18"/>
  <c r="V115" i="18"/>
  <c r="E76" i="12"/>
  <c r="V93" i="18"/>
  <c r="V94" i="18"/>
  <c r="V111" i="18"/>
  <c r="V113" i="18"/>
  <c r="E25" i="12"/>
  <c r="E12" i="16"/>
  <c r="E199" i="12"/>
  <c r="E12" i="12"/>
  <c r="E63" i="12"/>
  <c r="E177" i="12"/>
  <c r="B17" i="16"/>
  <c r="E148" i="12"/>
  <c r="E93" i="12"/>
  <c r="E121" i="12"/>
  <c r="P16" i="12"/>
  <c r="E42" i="12"/>
  <c r="E233" i="12"/>
  <c r="E125" i="12"/>
  <c r="E182" i="12"/>
  <c r="B13" i="12"/>
  <c r="E97" i="12"/>
  <c r="B12" i="12"/>
  <c r="B13" i="16"/>
  <c r="E90" i="12"/>
  <c r="E46" i="12"/>
  <c r="L5" i="12"/>
  <c r="E175" i="12"/>
  <c r="B16" i="16"/>
  <c r="B21" i="16"/>
  <c r="E127" i="12"/>
  <c r="B25" i="16"/>
  <c r="E149" i="12"/>
  <c r="B29" i="12"/>
  <c r="P10" i="12"/>
  <c r="E103" i="12"/>
  <c r="E206" i="12"/>
  <c r="E183" i="12"/>
  <c r="E32" i="12"/>
  <c r="E81" i="12"/>
  <c r="E184" i="12"/>
  <c r="N8" i="12"/>
  <c r="E202" i="12"/>
  <c r="E151" i="12"/>
  <c r="B34" i="16"/>
  <c r="E100" i="12"/>
  <c r="E203" i="12"/>
  <c r="P9" i="12"/>
  <c r="B35" i="16"/>
  <c r="E36" i="16"/>
  <c r="E155" i="12"/>
  <c r="E15" i="16"/>
  <c r="N12" i="12"/>
  <c r="E104" i="12"/>
  <c r="E59" i="12"/>
  <c r="E185" i="12"/>
  <c r="E209" i="12"/>
  <c r="E235" i="12"/>
  <c r="E98" i="12"/>
  <c r="E83" i="12"/>
  <c r="E236" i="12"/>
  <c r="E36" i="12"/>
  <c r="E134" i="12"/>
  <c r="E188" i="12"/>
  <c r="E19" i="16"/>
  <c r="N15" i="12"/>
  <c r="B63" i="12"/>
  <c r="E189" i="12"/>
  <c r="E238" i="12"/>
  <c r="E15" i="12"/>
  <c r="E87" i="12"/>
  <c r="E137" i="12"/>
  <c r="E64" i="12"/>
  <c r="E115" i="12"/>
  <c r="E140" i="12"/>
  <c r="E19" i="12"/>
  <c r="E91" i="12"/>
  <c r="E141" i="12"/>
  <c r="E219" i="12"/>
  <c r="E69" i="12"/>
  <c r="E172" i="12"/>
  <c r="E223" i="12"/>
  <c r="E200" i="12"/>
  <c r="E168" i="12"/>
  <c r="E222" i="12"/>
  <c r="E22" i="12"/>
  <c r="E24" i="12"/>
  <c r="E66" i="12"/>
  <c r="E221" i="12"/>
  <c r="N5" i="12"/>
  <c r="E47" i="12"/>
  <c r="B31" i="16"/>
  <c r="P14" i="12"/>
  <c r="E195" i="12"/>
  <c r="E33" i="12"/>
  <c r="E102" i="12"/>
  <c r="E124" i="12"/>
  <c r="E171" i="12"/>
  <c r="E56" i="12"/>
  <c r="B80" i="12"/>
  <c r="E220" i="12"/>
  <c r="P15" i="12"/>
  <c r="E243" i="12"/>
  <c r="E35" i="12"/>
  <c r="E16" i="12"/>
  <c r="E37" i="12"/>
  <c r="E176" i="12"/>
  <c r="B199" i="12"/>
  <c r="E152" i="12"/>
  <c r="E246" i="12"/>
  <c r="E18" i="12"/>
  <c r="E39" i="12"/>
  <c r="E84" i="12"/>
  <c r="E107" i="12"/>
  <c r="E131" i="12"/>
  <c r="E178" i="12"/>
  <c r="B29" i="16"/>
  <c r="E40" i="12"/>
  <c r="E86" i="12"/>
  <c r="E108" i="12"/>
  <c r="E226" i="12"/>
  <c r="E227" i="12"/>
  <c r="B30" i="16"/>
  <c r="E41" i="12"/>
  <c r="E109" i="12"/>
  <c r="E132" i="12"/>
  <c r="E228" i="12"/>
  <c r="E30" i="16"/>
  <c r="H8" i="6"/>
  <c r="E229" i="12"/>
  <c r="E158" i="12"/>
  <c r="P8" i="12"/>
  <c r="E92" i="12"/>
  <c r="E160" i="12"/>
  <c r="E205" i="12"/>
  <c r="E67" i="12"/>
  <c r="E186" i="12"/>
  <c r="N10" i="12"/>
  <c r="E35" i="16"/>
  <c r="E210" i="12"/>
  <c r="E118" i="12"/>
  <c r="E142" i="12"/>
  <c r="E211" i="12"/>
  <c r="E73" i="12"/>
  <c r="E212" i="12"/>
  <c r="B30" i="12"/>
  <c r="E50" i="12"/>
  <c r="E74" i="12"/>
  <c r="E120" i="12"/>
  <c r="E143" i="12"/>
  <c r="E166" i="12"/>
  <c r="B38" i="16"/>
  <c r="A3" i="11" a="1"/>
  <c r="A3" i="11" s="1"/>
  <c r="E39" i="16"/>
  <c r="E169" i="12"/>
  <c r="E194" i="12"/>
  <c r="E13" i="12"/>
  <c r="E217" i="12"/>
  <c r="E239" i="12"/>
  <c r="M14" i="6"/>
  <c r="J11" i="6"/>
  <c r="N14" i="6"/>
  <c r="N15" i="6"/>
  <c r="X115" i="12" a="1"/>
  <c r="X115" i="12" s="1"/>
  <c r="H115" i="12" s="1"/>
  <c r="B115" i="12"/>
  <c r="H9" i="6"/>
  <c r="R116" i="12"/>
  <c r="A3" i="8" a="1"/>
  <c r="A3" i="8" s="1"/>
  <c r="G8" i="6"/>
  <c r="R65" i="12"/>
  <c r="B64" i="12"/>
  <c r="X64" i="12" a="1"/>
  <c r="X64" i="12" s="1"/>
  <c r="H64" i="12" s="1"/>
  <c r="E153" i="12"/>
  <c r="B51" i="16"/>
  <c r="E150" i="16"/>
  <c r="E235" i="16"/>
  <c r="E99" i="16"/>
  <c r="B49" i="16"/>
  <c r="B59" i="16"/>
  <c r="E184" i="16"/>
  <c r="B58" i="16"/>
  <c r="E133" i="16"/>
  <c r="B57" i="16"/>
  <c r="B46" i="16"/>
  <c r="E82" i="16"/>
  <c r="E218" i="16"/>
  <c r="B56" i="16"/>
  <c r="B55" i="16"/>
  <c r="E167" i="16"/>
  <c r="B54" i="16"/>
  <c r="E116" i="16"/>
  <c r="B53" i="16"/>
  <c r="E65" i="16"/>
  <c r="E201" i="16"/>
  <c r="B52" i="16"/>
  <c r="E14" i="16"/>
  <c r="E116" i="12"/>
  <c r="E99" i="12"/>
  <c r="E133" i="12"/>
  <c r="B50" i="16"/>
  <c r="E31" i="16"/>
  <c r="E48" i="16"/>
  <c r="B48" i="16"/>
  <c r="P5" i="12"/>
  <c r="B47" i="16"/>
  <c r="R79" i="12"/>
  <c r="B79" i="12" s="1"/>
  <c r="E51" i="16"/>
  <c r="E187" i="16"/>
  <c r="B101" i="16"/>
  <c r="B100" i="16"/>
  <c r="E136" i="16"/>
  <c r="B110" i="16"/>
  <c r="B99" i="16"/>
  <c r="E221" i="16"/>
  <c r="B109" i="16"/>
  <c r="E85" i="16"/>
  <c r="B98" i="16"/>
  <c r="B108" i="16"/>
  <c r="E170" i="16"/>
  <c r="B97" i="16"/>
  <c r="B107" i="16"/>
  <c r="E119" i="16"/>
  <c r="B106" i="16"/>
  <c r="E68" i="16"/>
  <c r="E204" i="16"/>
  <c r="B105" i="16"/>
  <c r="B104" i="16"/>
  <c r="E153" i="16"/>
  <c r="B103" i="16"/>
  <c r="E238" i="16"/>
  <c r="E102" i="16"/>
  <c r="B102" i="16"/>
  <c r="N11" i="12"/>
  <c r="E34" i="16"/>
  <c r="P7" i="12"/>
  <c r="E17" i="16"/>
  <c r="E34" i="12"/>
  <c r="N9" i="12"/>
  <c r="X80" i="12" a="1"/>
  <c r="X80" i="12" s="1"/>
  <c r="H80" i="12" s="1"/>
  <c r="R81" i="12"/>
  <c r="E224" i="16"/>
  <c r="B151" i="16"/>
  <c r="E88" i="16"/>
  <c r="B161" i="16"/>
  <c r="E37" i="16"/>
  <c r="B150" i="16"/>
  <c r="E173" i="16"/>
  <c r="B160" i="16"/>
  <c r="B149" i="16"/>
  <c r="B159" i="16"/>
  <c r="E122" i="16"/>
  <c r="B148" i="16"/>
  <c r="B158" i="16"/>
  <c r="E71" i="16"/>
  <c r="E207" i="16"/>
  <c r="B157" i="16"/>
  <c r="E156" i="16"/>
  <c r="B156" i="16"/>
  <c r="E241" i="16"/>
  <c r="B155" i="16"/>
  <c r="E105" i="16"/>
  <c r="B154" i="16"/>
  <c r="E54" i="16"/>
  <c r="E190" i="16"/>
  <c r="B153" i="16"/>
  <c r="E139" i="16"/>
  <c r="B152" i="16"/>
  <c r="P11" i="12"/>
  <c r="E88" i="12"/>
  <c r="E20" i="16"/>
  <c r="N13" i="12"/>
  <c r="E190" i="12"/>
  <c r="E207" i="12"/>
  <c r="E71" i="12"/>
  <c r="B148" i="12"/>
  <c r="E156" i="12"/>
  <c r="E241" i="12"/>
  <c r="E122" i="12"/>
  <c r="E54" i="12"/>
  <c r="B131" i="12"/>
  <c r="X131" i="12" a="1"/>
  <c r="X131" i="12" s="1"/>
  <c r="H131" i="12" s="1"/>
  <c r="R132" i="12"/>
  <c r="R130" i="12"/>
  <c r="B130" i="12" s="1"/>
  <c r="B175" i="16"/>
  <c r="E38" i="16"/>
  <c r="E174" i="16"/>
  <c r="B174" i="16"/>
  <c r="B173" i="16"/>
  <c r="E123" i="16"/>
  <c r="B172" i="16"/>
  <c r="E72" i="16"/>
  <c r="E208" i="16"/>
  <c r="B171" i="16"/>
  <c r="E157" i="16"/>
  <c r="B170" i="16"/>
  <c r="E242" i="16"/>
  <c r="B169" i="16"/>
  <c r="E106" i="16"/>
  <c r="B168" i="16"/>
  <c r="E55" i="16"/>
  <c r="E191" i="16"/>
  <c r="B178" i="16"/>
  <c r="B167" i="16"/>
  <c r="B177" i="16"/>
  <c r="E140" i="16"/>
  <c r="B166" i="16"/>
  <c r="B176" i="16"/>
  <c r="E225" i="16"/>
  <c r="B165" i="16"/>
  <c r="E89" i="16"/>
  <c r="E21" i="16"/>
  <c r="E174" i="12"/>
  <c r="E157" i="12"/>
  <c r="E89" i="12"/>
  <c r="E170" i="12"/>
  <c r="E224" i="12"/>
  <c r="E55" i="12"/>
  <c r="E68" i="12"/>
  <c r="E119" i="12"/>
  <c r="E106" i="12"/>
  <c r="K11" i="6"/>
  <c r="E31" i="12"/>
  <c r="E20" i="12"/>
  <c r="B46" i="12"/>
  <c r="X46" i="12" a="1"/>
  <c r="X46" i="12" s="1"/>
  <c r="H46" i="12" s="1"/>
  <c r="E136" i="12"/>
  <c r="P12" i="12"/>
  <c r="E21" i="12"/>
  <c r="E85" i="12"/>
  <c r="E72" i="12"/>
  <c r="E150" i="12"/>
  <c r="E201" i="12"/>
  <c r="R47" i="12"/>
  <c r="K12" i="6"/>
  <c r="B165" i="12"/>
  <c r="E48" i="12"/>
  <c r="N14" i="12"/>
  <c r="J3" i="2"/>
  <c r="F3" i="2"/>
  <c r="N6" i="12"/>
  <c r="X114" i="12" a="1"/>
  <c r="X114" i="12" s="1"/>
  <c r="H114" i="12" s="1"/>
  <c r="B114" i="12"/>
  <c r="R113" i="12"/>
  <c r="B113" i="12" s="1"/>
  <c r="D3" i="2"/>
  <c r="C3" i="3"/>
  <c r="D3" i="3"/>
  <c r="X31" i="12" a="1"/>
  <c r="X31" i="12" s="1"/>
  <c r="H31" i="12" s="1"/>
  <c r="B31" i="12"/>
  <c r="R32" i="12"/>
  <c r="E65" i="12"/>
  <c r="B216" i="12"/>
  <c r="R217" i="12"/>
  <c r="X216" i="12" a="1"/>
  <c r="X216" i="12" s="1"/>
  <c r="H216" i="12" s="1"/>
  <c r="R215" i="12"/>
  <c r="B215" i="12" s="1"/>
  <c r="X13" i="12" a="1"/>
  <c r="X13" i="12" s="1"/>
  <c r="R14" i="12"/>
  <c r="X30" i="12" a="1"/>
  <c r="X30" i="12" s="1"/>
  <c r="H30" i="12" s="1"/>
  <c r="X182" i="12" a="1"/>
  <c r="X182" i="12" s="1"/>
  <c r="H182" i="12" s="1"/>
  <c r="E123" i="12"/>
  <c r="E173" i="12"/>
  <c r="B234" i="12"/>
  <c r="R235" i="12"/>
  <c r="E242" i="12"/>
  <c r="Q18" i="6"/>
  <c r="E225" i="12"/>
  <c r="X200" i="12" a="1"/>
  <c r="X200" i="12" s="1"/>
  <c r="H200" i="12" s="1"/>
  <c r="B200" i="12"/>
  <c r="R201" i="12"/>
  <c r="E51" i="12"/>
  <c r="E139" i="12"/>
  <c r="E191" i="12"/>
  <c r="E14" i="12"/>
  <c r="E82" i="12"/>
  <c r="R3" i="9"/>
  <c r="O3" i="9"/>
  <c r="N3" i="9"/>
  <c r="M3" i="9"/>
  <c r="H3" i="9"/>
  <c r="E3" i="9"/>
  <c r="G3" i="9"/>
  <c r="R166" i="12"/>
  <c r="R164" i="12"/>
  <c r="B164" i="12" s="1"/>
  <c r="D5" i="6"/>
  <c r="R98" i="12"/>
  <c r="B97" i="12"/>
  <c r="R96" i="12"/>
  <c r="B96" i="12" s="1"/>
  <c r="E218" i="12"/>
  <c r="A1" i="14" a="1"/>
  <c r="A1" i="14" s="1"/>
  <c r="E187" i="12"/>
  <c r="E17" i="12"/>
  <c r="X148" i="12" a="1"/>
  <c r="X148" i="12" s="1"/>
  <c r="H148" i="12" s="1"/>
  <c r="R183" i="12"/>
  <c r="B182" i="12"/>
  <c r="R149" i="12"/>
  <c r="E237" i="16"/>
  <c r="E101" i="16"/>
  <c r="B88" i="16"/>
  <c r="E50" i="16"/>
  <c r="E186" i="16"/>
  <c r="B87" i="16"/>
  <c r="B86" i="16"/>
  <c r="E135" i="16"/>
  <c r="B85" i="16"/>
  <c r="E84" i="16"/>
  <c r="E220" i="16"/>
  <c r="B84" i="16"/>
  <c r="E33" i="16"/>
  <c r="B83" i="16"/>
  <c r="E169" i="16"/>
  <c r="B93" i="16"/>
  <c r="B82" i="16"/>
  <c r="E118" i="16"/>
  <c r="B92" i="16"/>
  <c r="B81" i="16"/>
  <c r="E67" i="16"/>
  <c r="E203" i="16"/>
  <c r="B91" i="16"/>
  <c r="B80" i="16"/>
  <c r="B90" i="16"/>
  <c r="E152" i="16"/>
  <c r="B89" i="16"/>
  <c r="E135" i="12"/>
  <c r="E237" i="12"/>
  <c r="E16" i="16"/>
  <c r="X12" i="12" a="1"/>
  <c r="X12" i="12" s="1"/>
  <c r="H12" i="12" s="1"/>
  <c r="E38" i="12"/>
  <c r="E114" i="16"/>
  <c r="B14" i="16"/>
  <c r="E63" i="16"/>
  <c r="B24" i="16"/>
  <c r="E199" i="16"/>
  <c r="E148" i="16"/>
  <c r="E233" i="16"/>
  <c r="E97" i="16"/>
  <c r="E46" i="16"/>
  <c r="E182" i="16"/>
  <c r="E131" i="16"/>
  <c r="E80" i="16"/>
  <c r="E216" i="16"/>
  <c r="E29" i="16"/>
  <c r="E165" i="16"/>
  <c r="B18" i="16"/>
  <c r="N16" i="12"/>
  <c r="E64" i="16"/>
  <c r="E200" i="16"/>
  <c r="B37" i="16"/>
  <c r="E13" i="16"/>
  <c r="E149" i="16"/>
  <c r="B36" i="16"/>
  <c r="E234" i="16"/>
  <c r="E98" i="16"/>
  <c r="E47" i="16"/>
  <c r="E183" i="16"/>
  <c r="B33" i="16"/>
  <c r="E132" i="16"/>
  <c r="E81" i="16"/>
  <c r="E217" i="16"/>
  <c r="B41" i="16"/>
  <c r="E166" i="16"/>
  <c r="B40" i="16"/>
  <c r="E115" i="16"/>
  <c r="B32" i="16"/>
  <c r="E151" i="16"/>
  <c r="B75" i="16"/>
  <c r="B64" i="16"/>
  <c r="E236" i="16"/>
  <c r="E100" i="16"/>
  <c r="B74" i="16"/>
  <c r="B63" i="16"/>
  <c r="B73" i="16"/>
  <c r="E49" i="16"/>
  <c r="E185" i="16"/>
  <c r="B72" i="16"/>
  <c r="E134" i="16"/>
  <c r="B71" i="16"/>
  <c r="E83" i="16"/>
  <c r="E219" i="16"/>
  <c r="B70" i="16"/>
  <c r="B69" i="16"/>
  <c r="E168" i="16"/>
  <c r="B68" i="16"/>
  <c r="E117" i="16"/>
  <c r="B67" i="16"/>
  <c r="E66" i="16"/>
  <c r="E202" i="16"/>
  <c r="B66" i="16"/>
  <c r="B76" i="16"/>
  <c r="B65" i="16"/>
  <c r="B19" i="16"/>
  <c r="B125" i="16"/>
  <c r="B114" i="16"/>
  <c r="E137" i="16"/>
  <c r="B124" i="16"/>
  <c r="E222" i="16"/>
  <c r="B123" i="16"/>
  <c r="E86" i="16"/>
  <c r="B122" i="16"/>
  <c r="E171" i="16"/>
  <c r="B121" i="16"/>
  <c r="E120" i="16"/>
  <c r="B120" i="16"/>
  <c r="E69" i="16"/>
  <c r="E205" i="16"/>
  <c r="B119" i="16"/>
  <c r="B118" i="16"/>
  <c r="E154" i="16"/>
  <c r="B117" i="16"/>
  <c r="E239" i="16"/>
  <c r="B127" i="16"/>
  <c r="E103" i="16"/>
  <c r="B116" i="16"/>
  <c r="B126" i="16"/>
  <c r="E52" i="16"/>
  <c r="E188" i="16"/>
  <c r="B115" i="16"/>
  <c r="B20" i="16"/>
  <c r="E138" i="16"/>
  <c r="B138" i="16"/>
  <c r="E223" i="16"/>
  <c r="B137" i="16"/>
  <c r="E87" i="16"/>
  <c r="B136" i="16"/>
  <c r="E172" i="16"/>
  <c r="B135" i="16"/>
  <c r="E121" i="16"/>
  <c r="B134" i="16"/>
  <c r="B144" i="16"/>
  <c r="E70" i="16"/>
  <c r="E206" i="16"/>
  <c r="B133" i="16"/>
  <c r="B143" i="16"/>
  <c r="B132" i="16"/>
  <c r="E155" i="16"/>
  <c r="B142" i="16"/>
  <c r="B131" i="16"/>
  <c r="E240" i="16"/>
  <c r="B141" i="16"/>
  <c r="E104" i="16"/>
  <c r="B140" i="16"/>
  <c r="E53" i="16"/>
  <c r="E189" i="16"/>
  <c r="B139" i="16"/>
  <c r="B188" i="16"/>
  <c r="B187" i="16"/>
  <c r="E124" i="16"/>
  <c r="B186" i="16"/>
  <c r="E73" i="16"/>
  <c r="E209" i="16"/>
  <c r="B185" i="16"/>
  <c r="B195" i="16"/>
  <c r="E158" i="16"/>
  <c r="B184" i="16"/>
  <c r="B194" i="16"/>
  <c r="E243" i="16"/>
  <c r="B183" i="16"/>
  <c r="E107" i="16"/>
  <c r="B193" i="16"/>
  <c r="B182" i="16"/>
  <c r="E56" i="16"/>
  <c r="E192" i="16"/>
  <c r="B192" i="16"/>
  <c r="B191" i="16"/>
  <c r="E141" i="16"/>
  <c r="B190" i="16"/>
  <c r="E226" i="16"/>
  <c r="E90" i="16"/>
  <c r="B189" i="16"/>
  <c r="E175" i="16"/>
  <c r="B201" i="16"/>
  <c r="E125" i="16"/>
  <c r="B211" i="16"/>
  <c r="B200" i="16"/>
  <c r="E74" i="16"/>
  <c r="E210" i="16"/>
  <c r="B210" i="16"/>
  <c r="B199" i="16"/>
  <c r="B209" i="16"/>
  <c r="E159" i="16"/>
  <c r="B208" i="16"/>
  <c r="E244" i="16"/>
  <c r="E108" i="16"/>
  <c r="B207" i="16"/>
  <c r="E57" i="16"/>
  <c r="E193" i="16"/>
  <c r="B206" i="16"/>
  <c r="B205" i="16"/>
  <c r="E142" i="16"/>
  <c r="B204" i="16"/>
  <c r="E227" i="16"/>
  <c r="E91" i="16"/>
  <c r="B203" i="16"/>
  <c r="E40" i="16"/>
  <c r="E176" i="16"/>
  <c r="B202" i="16"/>
  <c r="B212" i="16"/>
  <c r="E75" i="16"/>
  <c r="E211" i="16"/>
  <c r="B224" i="16"/>
  <c r="B223" i="16"/>
  <c r="E160" i="16"/>
  <c r="B222" i="16"/>
  <c r="E245" i="16"/>
  <c r="E109" i="16"/>
  <c r="B221" i="16"/>
  <c r="E58" i="16"/>
  <c r="E194" i="16"/>
  <c r="B220" i="16"/>
  <c r="B219" i="16"/>
  <c r="E143" i="16"/>
  <c r="B229" i="16"/>
  <c r="B218" i="16"/>
  <c r="E228" i="16"/>
  <c r="E92" i="16"/>
  <c r="B228" i="16"/>
  <c r="B217" i="16"/>
  <c r="E41" i="16"/>
  <c r="B227" i="16"/>
  <c r="E177" i="16"/>
  <c r="B216" i="16"/>
  <c r="B226" i="16"/>
  <c r="E126" i="16"/>
  <c r="B225" i="16"/>
  <c r="B22" i="16"/>
  <c r="E23" i="12"/>
  <c r="E58" i="12"/>
  <c r="E75" i="12"/>
  <c r="E192" i="12"/>
  <c r="X199" i="12" a="1"/>
  <c r="X199" i="12" s="1"/>
  <c r="H199" i="12" s="1"/>
  <c r="E234" i="12"/>
  <c r="E244" i="12"/>
  <c r="B237" i="16"/>
  <c r="E161" i="16"/>
  <c r="B236" i="16"/>
  <c r="E246" i="16"/>
  <c r="E110" i="16"/>
  <c r="B246" i="16"/>
  <c r="B235" i="16"/>
  <c r="E59" i="16"/>
  <c r="B245" i="16"/>
  <c r="E195" i="16"/>
  <c r="B234" i="16"/>
  <c r="B244" i="16"/>
  <c r="B233" i="16"/>
  <c r="E144" i="16"/>
  <c r="B243" i="16"/>
  <c r="E229" i="16"/>
  <c r="E93" i="16"/>
  <c r="B242" i="16"/>
  <c r="E42" i="16"/>
  <c r="B241" i="16"/>
  <c r="E178" i="16"/>
  <c r="B240" i="16"/>
  <c r="E127" i="16"/>
  <c r="B239" i="16"/>
  <c r="E76" i="16"/>
  <c r="E212" i="16"/>
  <c r="B238" i="16"/>
  <c r="E22" i="16"/>
  <c r="B23" i="16"/>
  <c r="F3" i="10"/>
  <c r="B12" i="16"/>
  <c r="E23" i="16"/>
  <c r="B39" i="16"/>
  <c r="E24" i="16"/>
  <c r="H3" i="6"/>
  <c r="F3" i="6"/>
  <c r="K3" i="10"/>
  <c r="P6" i="12"/>
  <c r="E193" i="12"/>
  <c r="E240" i="12"/>
  <c r="E25" i="16"/>
  <c r="B42" i="16"/>
  <c r="M3" i="10"/>
  <c r="E114" i="12"/>
  <c r="E3" i="6"/>
  <c r="N3" i="10"/>
  <c r="E154" i="12"/>
  <c r="B15" i="16"/>
  <c r="U6" i="18" l="1"/>
  <c r="V6" i="18" s="1"/>
  <c r="U80" i="18"/>
  <c r="V80" i="18" s="1"/>
  <c r="U51" i="18"/>
  <c r="V51" i="18" s="1"/>
  <c r="U81" i="18"/>
  <c r="V81" i="18" s="1"/>
  <c r="U12" i="18"/>
  <c r="V12" i="18" s="1"/>
  <c r="U82" i="18"/>
  <c r="V82" i="18" s="1"/>
  <c r="U52" i="18"/>
  <c r="V52" i="18" s="1"/>
  <c r="U83" i="18"/>
  <c r="V83" i="18" s="1"/>
  <c r="U15" i="18"/>
  <c r="V15" i="18" s="1"/>
  <c r="U88" i="18"/>
  <c r="V88" i="18" s="1"/>
  <c r="U39" i="18"/>
  <c r="V39" i="18" s="1"/>
  <c r="U54" i="18"/>
  <c r="V54" i="18" s="1"/>
  <c r="U59" i="18"/>
  <c r="V59" i="18" s="1"/>
  <c r="U8" i="18"/>
  <c r="V8" i="18" s="1"/>
  <c r="U17" i="18"/>
  <c r="V17" i="18" s="1"/>
  <c r="U40" i="18"/>
  <c r="V40" i="18" s="1"/>
  <c r="U56" i="18"/>
  <c r="V56" i="18" s="1"/>
  <c r="U60" i="18"/>
  <c r="V60" i="18" s="1"/>
  <c r="U9" i="18"/>
  <c r="V9" i="18" s="1"/>
  <c r="U18" i="18"/>
  <c r="V18" i="18" s="1"/>
  <c r="U41" i="18"/>
  <c r="V41" i="18" s="1"/>
  <c r="U19" i="18"/>
  <c r="V19" i="18" s="1"/>
  <c r="U61" i="18"/>
  <c r="V61" i="18" s="1"/>
  <c r="U10" i="18"/>
  <c r="V10" i="18" s="1"/>
  <c r="U20" i="18"/>
  <c r="V20" i="18" s="1"/>
  <c r="U71" i="18"/>
  <c r="V71" i="18" s="1"/>
  <c r="U42" i="18"/>
  <c r="V42" i="18" s="1"/>
  <c r="U21" i="18"/>
  <c r="V21" i="18" s="1"/>
  <c r="U73" i="18"/>
  <c r="V73" i="18" s="1"/>
  <c r="U11" i="18"/>
  <c r="V11" i="18" s="1"/>
  <c r="U22" i="18"/>
  <c r="V22" i="18" s="1"/>
  <c r="U86" i="18"/>
  <c r="V86" i="18" s="1"/>
  <c r="U43" i="18"/>
  <c r="V43" i="18" s="1"/>
  <c r="U23" i="18"/>
  <c r="V23" i="18" s="1"/>
  <c r="U4" i="18"/>
  <c r="V4" i="18" s="1"/>
  <c r="U13" i="18"/>
  <c r="V13" i="18" s="1"/>
  <c r="U24" i="18"/>
  <c r="V24" i="18" s="1"/>
  <c r="U87" i="18"/>
  <c r="V87" i="18" s="1"/>
  <c r="U45" i="18"/>
  <c r="V45" i="18" s="1"/>
  <c r="U26" i="18"/>
  <c r="V26" i="18" s="1"/>
  <c r="U89" i="18"/>
  <c r="V89" i="18" s="1"/>
  <c r="U25" i="18"/>
  <c r="V25" i="18" s="1"/>
  <c r="U27" i="18"/>
  <c r="V27" i="18" s="1"/>
  <c r="U90" i="18"/>
  <c r="V90" i="18" s="1"/>
  <c r="U57" i="18"/>
  <c r="V57" i="18" s="1"/>
  <c r="U28" i="18"/>
  <c r="V28" i="18" s="1"/>
  <c r="U58" i="18"/>
  <c r="V58" i="18" s="1"/>
  <c r="U29" i="18"/>
  <c r="V29" i="18" s="1"/>
  <c r="U70" i="18"/>
  <c r="V70" i="18" s="1"/>
  <c r="U32" i="18"/>
  <c r="V32" i="18" s="1"/>
  <c r="U31" i="18"/>
  <c r="V31" i="18" s="1"/>
  <c r="U74" i="18"/>
  <c r="V74" i="18" s="1"/>
  <c r="U33" i="18"/>
  <c r="V33" i="18" s="1"/>
  <c r="U30" i="18"/>
  <c r="V30" i="18" s="1"/>
  <c r="U84" i="18"/>
  <c r="V84" i="18" s="1"/>
  <c r="U34" i="18"/>
  <c r="V34" i="18" s="1"/>
  <c r="U7" i="18"/>
  <c r="V7" i="18" s="1"/>
  <c r="U85" i="18"/>
  <c r="V85" i="18" s="1"/>
  <c r="U35" i="18"/>
  <c r="V35" i="18" s="1"/>
  <c r="U14" i="18"/>
  <c r="V14" i="18" s="1"/>
  <c r="U72" i="18"/>
  <c r="V72" i="18" s="1"/>
  <c r="U36" i="18"/>
  <c r="V36" i="18" s="1"/>
  <c r="U16" i="18"/>
  <c r="V16" i="18" s="1"/>
  <c r="U69" i="18"/>
  <c r="V69" i="18" s="1"/>
  <c r="U37" i="18"/>
  <c r="V37" i="18" s="1"/>
  <c r="U49" i="18"/>
  <c r="V49" i="18" s="1"/>
  <c r="U68" i="18"/>
  <c r="V68" i="18" s="1"/>
  <c r="U38" i="18"/>
  <c r="V38" i="18" s="1"/>
  <c r="U53" i="18"/>
  <c r="V53" i="18" s="1"/>
  <c r="U67" i="18"/>
  <c r="V67" i="18" s="1"/>
  <c r="U44" i="18"/>
  <c r="V44" i="18" s="1"/>
  <c r="U55" i="18"/>
  <c r="V55" i="18" s="1"/>
  <c r="U66" i="18"/>
  <c r="V66" i="18" s="1"/>
  <c r="U46" i="18"/>
  <c r="V46" i="18" s="1"/>
  <c r="U75" i="18"/>
  <c r="V75" i="18" s="1"/>
  <c r="U65" i="18"/>
  <c r="V65" i="18" s="1"/>
  <c r="U47" i="18"/>
  <c r="V47" i="18" s="1"/>
  <c r="U76" i="18"/>
  <c r="V76" i="18" s="1"/>
  <c r="U64" i="18"/>
  <c r="V64" i="18" s="1"/>
  <c r="U48" i="18"/>
  <c r="V48" i="18" s="1"/>
  <c r="U77" i="18"/>
  <c r="V77" i="18" s="1"/>
  <c r="U63" i="18"/>
  <c r="V63" i="18" s="1"/>
  <c r="U5" i="18"/>
  <c r="V5" i="18" s="1"/>
  <c r="U78" i="18"/>
  <c r="V78" i="18" s="1"/>
  <c r="U62" i="18"/>
  <c r="V62" i="18" s="1"/>
  <c r="U50" i="18"/>
  <c r="V50" i="18" s="1"/>
  <c r="U79" i="18"/>
  <c r="V79" i="18" s="1"/>
  <c r="U3" i="18"/>
  <c r="V3" i="18" s="1"/>
  <c r="H13" i="12"/>
  <c r="H29" i="12"/>
  <c r="X98" i="12" a="1"/>
  <c r="X98" i="12" s="1"/>
  <c r="H98" i="12" s="1"/>
  <c r="B98" i="12"/>
  <c r="R99" i="12"/>
  <c r="R218" i="12"/>
  <c r="B217" i="12"/>
  <c r="X217" i="12" a="1"/>
  <c r="X217" i="12" s="1"/>
  <c r="H217" i="12" s="1"/>
  <c r="B166" i="12"/>
  <c r="R167" i="12"/>
  <c r="X166" i="12" a="1"/>
  <c r="X166" i="12" s="1"/>
  <c r="H166" i="12" s="1"/>
  <c r="B32" i="12"/>
  <c r="R33" i="12"/>
  <c r="X32" i="12" a="1"/>
  <c r="X32" i="12" s="1"/>
  <c r="H32" i="12" s="1"/>
  <c r="R48" i="12"/>
  <c r="B47" i="12"/>
  <c r="X47" i="12" a="1"/>
  <c r="X47" i="12" s="1"/>
  <c r="H47" i="12" s="1"/>
  <c r="R117" i="12"/>
  <c r="X116" i="12" a="1"/>
  <c r="X116" i="12" s="1"/>
  <c r="H116" i="12" s="1"/>
  <c r="B116" i="12"/>
  <c r="R133" i="12"/>
  <c r="B132" i="12"/>
  <c r="X132" i="12" a="1"/>
  <c r="X132" i="12" s="1"/>
  <c r="H132" i="12" s="1"/>
  <c r="B201" i="12"/>
  <c r="R202" i="12"/>
  <c r="X201" i="12" a="1"/>
  <c r="X201" i="12" s="1"/>
  <c r="H201" i="12" s="1"/>
  <c r="B149" i="12"/>
  <c r="R150" i="12"/>
  <c r="X149" i="12" a="1"/>
  <c r="X149" i="12" s="1"/>
  <c r="H149" i="12" s="1"/>
  <c r="X183" i="12" a="1"/>
  <c r="X183" i="12" s="1"/>
  <c r="H183" i="12" s="1"/>
  <c r="B183" i="12"/>
  <c r="R184" i="12"/>
  <c r="X235" i="12" a="1"/>
  <c r="X235" i="12" s="1"/>
  <c r="H235" i="12" s="1"/>
  <c r="R236" i="12"/>
  <c r="B235" i="12"/>
  <c r="X65" i="12" a="1"/>
  <c r="X65" i="12" s="1"/>
  <c r="H65" i="12" s="1"/>
  <c r="B65" i="12"/>
  <c r="R66" i="12"/>
  <c r="R82" i="12"/>
  <c r="X81" i="12" a="1"/>
  <c r="X81" i="12" s="1"/>
  <c r="H81" i="12" s="1"/>
  <c r="B81" i="12"/>
  <c r="B14" i="12"/>
  <c r="L7" i="12"/>
  <c r="R15" i="12"/>
  <c r="X14" i="12" a="1"/>
  <c r="X14" i="12" s="1"/>
  <c r="H14" i="12" s="1"/>
  <c r="X3" i="18" l="1" a="1"/>
  <c r="X3" i="18" s="1"/>
  <c r="Y3" i="18" s="1"/>
  <c r="B184" i="12"/>
  <c r="R185" i="12"/>
  <c r="X184" i="12" a="1"/>
  <c r="X184" i="12" s="1"/>
  <c r="H184" i="12" s="1"/>
  <c r="R151" i="12"/>
  <c r="B150" i="12"/>
  <c r="X150" i="12" a="1"/>
  <c r="X150" i="12" s="1"/>
  <c r="H150" i="12" s="1"/>
  <c r="R83" i="12"/>
  <c r="X82" i="12" a="1"/>
  <c r="X82" i="12" s="1"/>
  <c r="H82" i="12" s="1"/>
  <c r="B82" i="12"/>
  <c r="B117" i="12"/>
  <c r="R118" i="12"/>
  <c r="X117" i="12" a="1"/>
  <c r="X117" i="12" s="1"/>
  <c r="H117" i="12" s="1"/>
  <c r="R34" i="12"/>
  <c r="X33" i="12" a="1"/>
  <c r="X33" i="12" s="1"/>
  <c r="H33" i="12" s="1"/>
  <c r="B33" i="12"/>
  <c r="X167" i="12" a="1"/>
  <c r="X167" i="12" s="1"/>
  <c r="H167" i="12" s="1"/>
  <c r="B167" i="12"/>
  <c r="R168" i="12"/>
  <c r="R100" i="12"/>
  <c r="X99" i="12" a="1"/>
  <c r="X99" i="12" s="1"/>
  <c r="H99" i="12" s="1"/>
  <c r="B99" i="12"/>
  <c r="R49" i="12"/>
  <c r="B48" i="12"/>
  <c r="X48" i="12" a="1"/>
  <c r="X48" i="12" s="1"/>
  <c r="R16" i="12"/>
  <c r="X15" i="12" a="1"/>
  <c r="X15" i="12" s="1"/>
  <c r="H15" i="12" s="1"/>
  <c r="L8" i="12"/>
  <c r="B15" i="12"/>
  <c r="B66" i="12"/>
  <c r="X66" i="12" a="1"/>
  <c r="X66" i="12" s="1"/>
  <c r="H66" i="12" s="1"/>
  <c r="R67" i="12"/>
  <c r="R237" i="12"/>
  <c r="B236" i="12"/>
  <c r="X236" i="12" a="1"/>
  <c r="X236" i="12" s="1"/>
  <c r="H236" i="12" s="1"/>
  <c r="R203" i="12"/>
  <c r="X202" i="12" a="1"/>
  <c r="X202" i="12" s="1"/>
  <c r="H202" i="12" s="1"/>
  <c r="B202" i="12"/>
  <c r="X133" i="12" a="1"/>
  <c r="X133" i="12" s="1"/>
  <c r="H133" i="12" s="1"/>
  <c r="B133" i="12"/>
  <c r="R134" i="12"/>
  <c r="X218" i="12" a="1"/>
  <c r="X218" i="12" s="1"/>
  <c r="H218" i="12" s="1"/>
  <c r="B218" i="12"/>
  <c r="R219" i="12"/>
  <c r="H36" i="18" l="1" a="1"/>
  <c r="H36" i="18" s="1"/>
  <c r="A32" i="18" a="1"/>
  <c r="A32" i="18" s="1"/>
  <c r="O30" i="18" a="1"/>
  <c r="O30" i="18" s="1"/>
  <c r="M36" i="18" a="1"/>
  <c r="M36" i="18" s="1"/>
  <c r="L36" i="18" a="1"/>
  <c r="L36" i="18" s="1"/>
  <c r="G25" i="18" a="1"/>
  <c r="G25" i="18" s="1"/>
  <c r="K21" i="18" a="1"/>
  <c r="K21" i="18" s="1"/>
  <c r="O32" i="18" a="1"/>
  <c r="O32" i="18" s="1"/>
  <c r="Q30" i="18" a="1"/>
  <c r="Q30" i="18" s="1"/>
  <c r="B29" i="18" a="1"/>
  <c r="B29" i="18" s="1"/>
  <c r="D27" i="18" a="1"/>
  <c r="D27" i="18" s="1"/>
  <c r="F25" i="18" a="1"/>
  <c r="F25" i="18" s="1"/>
  <c r="H23" i="18" a="1"/>
  <c r="H23" i="18" s="1"/>
  <c r="G23" i="18" a="1"/>
  <c r="G23" i="18" s="1"/>
  <c r="I21" i="18" a="1"/>
  <c r="I21" i="18" s="1"/>
  <c r="B27" i="18" a="1"/>
  <c r="B27" i="18" s="1"/>
  <c r="F23" i="18" a="1"/>
  <c r="F23" i="18" s="1"/>
  <c r="H21" i="18" a="1"/>
  <c r="H21" i="18" s="1"/>
  <c r="A23" i="18" a="1"/>
  <c r="A23" i="18" s="1"/>
  <c r="E34" i="18" a="1"/>
  <c r="E34" i="18" s="1"/>
  <c r="Q33" i="18" a="1"/>
  <c r="Q33" i="18" s="1"/>
  <c r="J36" i="18" a="1"/>
  <c r="J36" i="18" s="1"/>
  <c r="I36" i="18" a="1"/>
  <c r="I36" i="18" s="1"/>
  <c r="Q24" i="18" a="1"/>
  <c r="Q24" i="18" s="1"/>
  <c r="B23" i="18" a="1"/>
  <c r="B23" i="18" s="1"/>
  <c r="D21" i="18" a="1"/>
  <c r="D21" i="18" s="1"/>
  <c r="D36" i="18" a="1"/>
  <c r="D36" i="18" s="1"/>
  <c r="Q37" i="18" a="1"/>
  <c r="Q37" i="18" s="1"/>
  <c r="B36" i="18" a="1"/>
  <c r="B36" i="18" s="1"/>
  <c r="D34" i="18" a="1"/>
  <c r="D34" i="18" s="1"/>
  <c r="F32" i="18" a="1"/>
  <c r="F32" i="18" s="1"/>
  <c r="H30" i="18" a="1"/>
  <c r="H30" i="18" s="1"/>
  <c r="J28" i="18" a="1"/>
  <c r="J28" i="18" s="1"/>
  <c r="L26" i="18" a="1"/>
  <c r="L26" i="18" s="1"/>
  <c r="N24" i="18" a="1"/>
  <c r="N24" i="18" s="1"/>
  <c r="P22" i="18" a="1"/>
  <c r="P22" i="18" s="1"/>
  <c r="A21" i="18" a="1"/>
  <c r="A21" i="18" s="1"/>
  <c r="K22" i="18" a="1"/>
  <c r="K22" i="18" s="1"/>
  <c r="P37" i="18" a="1"/>
  <c r="P37" i="18" s="1"/>
  <c r="B34" i="18" a="1"/>
  <c r="B34" i="18" s="1"/>
  <c r="D32" i="18" a="1"/>
  <c r="D32" i="18" s="1"/>
  <c r="N22" i="18" a="1"/>
  <c r="N22" i="18" s="1"/>
  <c r="G26" i="18" a="1"/>
  <c r="G26" i="18" s="1"/>
  <c r="N37" i="18" a="1"/>
  <c r="N37" i="18" s="1"/>
  <c r="M37" i="18" a="1"/>
  <c r="M37" i="18" s="1"/>
  <c r="L37" i="18" a="1"/>
  <c r="L37" i="18" s="1"/>
  <c r="O33" i="18" a="1"/>
  <c r="O33" i="18" s="1"/>
  <c r="Q31" i="18" a="1"/>
  <c r="Q31" i="18" s="1"/>
  <c r="B30" i="18" a="1"/>
  <c r="B30" i="18" s="1"/>
  <c r="D28" i="18" a="1"/>
  <c r="D28" i="18" s="1"/>
  <c r="F26" i="18" a="1"/>
  <c r="F26" i="18" s="1"/>
  <c r="H24" i="18" a="1"/>
  <c r="H24" i="18" s="1"/>
  <c r="J22" i="18" a="1"/>
  <c r="J22" i="18" s="1"/>
  <c r="N33" i="18" a="1"/>
  <c r="N33" i="18" s="1"/>
  <c r="P31" i="18" a="1"/>
  <c r="P31" i="18" s="1"/>
  <c r="A30" i="18" a="1"/>
  <c r="A30" i="18" s="1"/>
  <c r="C28" i="18" a="1"/>
  <c r="C28" i="18" s="1"/>
  <c r="E26" i="18" a="1"/>
  <c r="E26" i="18" s="1"/>
  <c r="G24" i="18" a="1"/>
  <c r="G24" i="18" s="1"/>
  <c r="I22" i="18" a="1"/>
  <c r="I22" i="18" s="1"/>
  <c r="G22" i="18" a="1"/>
  <c r="G22" i="18" s="1"/>
  <c r="I35" i="18" a="1"/>
  <c r="I35" i="18" s="1"/>
  <c r="O29" i="18" a="1"/>
  <c r="O29" i="18" s="1"/>
  <c r="Q27" i="18" a="1"/>
  <c r="Q27" i="18" s="1"/>
  <c r="A26" i="18" a="1"/>
  <c r="A26" i="18" s="1"/>
  <c r="E22" i="18" a="1"/>
  <c r="E22" i="18" s="1"/>
  <c r="N30" i="18" a="1"/>
  <c r="N30" i="18" s="1"/>
  <c r="M30" i="18" a="1"/>
  <c r="M30" i="18" s="1"/>
  <c r="F21" i="18" a="1"/>
  <c r="F21" i="18" s="1"/>
  <c r="N28" i="18" a="1"/>
  <c r="N28" i="18" s="1"/>
  <c r="L28" i="18" a="1"/>
  <c r="L28" i="18" s="1"/>
  <c r="G32" i="18" a="1"/>
  <c r="G32" i="18" s="1"/>
  <c r="I28" i="18" a="1"/>
  <c r="I28" i="18" s="1"/>
  <c r="C32" i="18" a="1"/>
  <c r="C32" i="18" s="1"/>
  <c r="J24" i="18" a="1"/>
  <c r="J24" i="18" s="1"/>
  <c r="C30" i="18" a="1"/>
  <c r="C30" i="18" s="1"/>
  <c r="J37" i="18" a="1"/>
  <c r="J37" i="18" s="1"/>
  <c r="C21" i="18" a="1"/>
  <c r="C21" i="18" s="1"/>
  <c r="I37" i="18" a="1"/>
  <c r="I37" i="18" s="1"/>
  <c r="K35" i="18" a="1"/>
  <c r="K35" i="18" s="1"/>
  <c r="M33" i="18" a="1"/>
  <c r="M33" i="18" s="1"/>
  <c r="O31" i="18" a="1"/>
  <c r="O31" i="18" s="1"/>
  <c r="Q29" i="18" a="1"/>
  <c r="Q29" i="18" s="1"/>
  <c r="B28" i="18" a="1"/>
  <c r="B28" i="18" s="1"/>
  <c r="D26" i="18" a="1"/>
  <c r="D26" i="18" s="1"/>
  <c r="F24" i="18" a="1"/>
  <c r="F24" i="18" s="1"/>
  <c r="H22" i="18" a="1"/>
  <c r="H22" i="18" s="1"/>
  <c r="J35" i="18" a="1"/>
  <c r="J35" i="18" s="1"/>
  <c r="L33" i="18" a="1"/>
  <c r="L33" i="18" s="1"/>
  <c r="P29" i="18" a="1"/>
  <c r="P29" i="18" s="1"/>
  <c r="C26" i="18" a="1"/>
  <c r="C26" i="18" s="1"/>
  <c r="B26" i="18" a="1"/>
  <c r="B26" i="18" s="1"/>
  <c r="F22" i="18" a="1"/>
  <c r="F22" i="18" s="1"/>
  <c r="H35" i="18" a="1"/>
  <c r="H35" i="18" s="1"/>
  <c r="L31" i="18" a="1"/>
  <c r="L31" i="18" s="1"/>
  <c r="B25" i="18" a="1"/>
  <c r="B25" i="18" s="1"/>
  <c r="A25" i="18" a="1"/>
  <c r="A25" i="18" s="1"/>
  <c r="P24" i="18" a="1"/>
  <c r="P24" i="18" s="1"/>
  <c r="M26" i="18" a="1"/>
  <c r="M26" i="18" s="1"/>
  <c r="G30" i="18" a="1"/>
  <c r="G30" i="18" s="1"/>
  <c r="G28" i="18" a="1"/>
  <c r="G28" i="18" s="1"/>
  <c r="D30" i="18" a="1"/>
  <c r="D30" i="18" s="1"/>
  <c r="E28" i="18" a="1"/>
  <c r="E28" i="18" s="1"/>
  <c r="H37" i="18" a="1"/>
  <c r="H37" i="18" s="1"/>
  <c r="J30" i="18" a="1"/>
  <c r="J30" i="18" s="1"/>
  <c r="Q22" i="18" a="1"/>
  <c r="Q22" i="18" s="1"/>
  <c r="M24" i="18" a="1"/>
  <c r="M24" i="18" s="1"/>
  <c r="M22" i="18" a="1"/>
  <c r="M22" i="18" s="1"/>
  <c r="G37" i="18" a="1"/>
  <c r="G37" i="18" s="1"/>
  <c r="D29" i="18" a="1"/>
  <c r="D29" i="18" s="1"/>
  <c r="A27" i="18" a="1"/>
  <c r="A27" i="18" s="1"/>
  <c r="Q26" i="18" a="1"/>
  <c r="Q26" i="18" s="1"/>
  <c r="P26" i="18" a="1"/>
  <c r="P26" i="18" s="1"/>
  <c r="N26" i="18" a="1"/>
  <c r="N26" i="18" s="1"/>
  <c r="I30" i="18" a="1"/>
  <c r="I30" i="18" s="1"/>
  <c r="K26" i="18" a="1"/>
  <c r="K26" i="18" s="1"/>
  <c r="E30" i="18" a="1"/>
  <c r="E30" i="18" s="1"/>
  <c r="F28" i="18" a="1"/>
  <c r="F28" i="18" s="1"/>
  <c r="G35" i="18" a="1"/>
  <c r="G35" i="18" s="1"/>
  <c r="K31" i="18" a="1"/>
  <c r="K31" i="18" s="1"/>
  <c r="O27" i="18" a="1"/>
  <c r="O27" i="18" s="1"/>
  <c r="Q25" i="18" a="1"/>
  <c r="Q25" i="18" s="1"/>
  <c r="B24" i="18" a="1"/>
  <c r="B24" i="18" s="1"/>
  <c r="D22" i="18" a="1"/>
  <c r="D22" i="18" s="1"/>
  <c r="F35" i="18" a="1"/>
  <c r="F35" i="18" s="1"/>
  <c r="H33" i="18" a="1"/>
  <c r="H33" i="18" s="1"/>
  <c r="J31" i="18" a="1"/>
  <c r="J31" i="18" s="1"/>
  <c r="L29" i="18" a="1"/>
  <c r="L29" i="18" s="1"/>
  <c r="N27" i="18" a="1"/>
  <c r="N27" i="18" s="1"/>
  <c r="P25" i="18" a="1"/>
  <c r="P25" i="18" s="1"/>
  <c r="A24" i="18" a="1"/>
  <c r="A24" i="18" s="1"/>
  <c r="C22" i="18" a="1"/>
  <c r="C22" i="18" s="1"/>
  <c r="E29" i="18" a="1"/>
  <c r="E29" i="18" s="1"/>
  <c r="O34" i="18" a="1"/>
  <c r="O34" i="18" s="1"/>
  <c r="H25" i="18" a="1"/>
  <c r="H25" i="18" s="1"/>
  <c r="L32" i="18" a="1"/>
  <c r="L32" i="18" s="1"/>
  <c r="G21" i="18" a="1"/>
  <c r="G21" i="18" s="1"/>
  <c r="O28" i="18" a="1"/>
  <c r="O28" i="18" s="1"/>
  <c r="D23" i="18" a="1"/>
  <c r="D23" i="18" s="1"/>
  <c r="H34" i="18" a="1"/>
  <c r="H34" i="18" s="1"/>
  <c r="C23" i="18" a="1"/>
  <c r="C23" i="18" s="1"/>
  <c r="F34" i="18" a="1"/>
  <c r="F34" i="18" s="1"/>
  <c r="O24" i="18" a="1"/>
  <c r="O24" i="18" s="1"/>
  <c r="E32" i="18" a="1"/>
  <c r="E32" i="18" s="1"/>
  <c r="K24" i="18" a="1"/>
  <c r="K24" i="18" s="1"/>
  <c r="B32" i="18" a="1"/>
  <c r="B32" i="18" s="1"/>
  <c r="D37" i="18" a="1"/>
  <c r="D37" i="18" s="1"/>
  <c r="C37" i="18" a="1"/>
  <c r="C37" i="18" s="1"/>
  <c r="G33" i="18" a="1"/>
  <c r="G33" i="18" s="1"/>
  <c r="I31" i="18" a="1"/>
  <c r="I31" i="18" s="1"/>
  <c r="M27" i="18" a="1"/>
  <c r="M27" i="18" s="1"/>
  <c r="O25" i="18" a="1"/>
  <c r="O25" i="18" s="1"/>
  <c r="Q23" i="18" a="1"/>
  <c r="Q23" i="18" s="1"/>
  <c r="B22" i="18" a="1"/>
  <c r="B22" i="18" s="1"/>
  <c r="D35" i="18" a="1"/>
  <c r="D35" i="18" s="1"/>
  <c r="F33" i="18" a="1"/>
  <c r="F33" i="18" s="1"/>
  <c r="H31" i="18" a="1"/>
  <c r="H31" i="18" s="1"/>
  <c r="J29" i="18" a="1"/>
  <c r="J29" i="18" s="1"/>
  <c r="L27" i="18" a="1"/>
  <c r="L27" i="18" s="1"/>
  <c r="N25" i="18" a="1"/>
  <c r="N25" i="18" s="1"/>
  <c r="P23" i="18" a="1"/>
  <c r="P23" i="18" s="1"/>
  <c r="A22" i="18" a="1"/>
  <c r="A22" i="18" s="1"/>
  <c r="C35" i="18" a="1"/>
  <c r="C35" i="18" s="1"/>
  <c r="E33" i="18" a="1"/>
  <c r="E33" i="18" s="1"/>
  <c r="G31" i="18" a="1"/>
  <c r="G31" i="18" s="1"/>
  <c r="I29" i="18" a="1"/>
  <c r="I29" i="18" s="1"/>
  <c r="K27" i="18" a="1"/>
  <c r="K27" i="18" s="1"/>
  <c r="M25" i="18" a="1"/>
  <c r="M25" i="18" s="1"/>
  <c r="O23" i="18" a="1"/>
  <c r="O23" i="18" s="1"/>
  <c r="Q21" i="18" a="1"/>
  <c r="Q21" i="18" s="1"/>
  <c r="B35" i="18" a="1"/>
  <c r="B35" i="18" s="1"/>
  <c r="D33" i="18" a="1"/>
  <c r="D33" i="18" s="1"/>
  <c r="F31" i="18" a="1"/>
  <c r="F31" i="18" s="1"/>
  <c r="H29" i="18" a="1"/>
  <c r="H29" i="18" s="1"/>
  <c r="J27" i="18" a="1"/>
  <c r="J27" i="18" s="1"/>
  <c r="L25" i="18" a="1"/>
  <c r="L25" i="18" s="1"/>
  <c r="N23" i="18" a="1"/>
  <c r="N23" i="18" s="1"/>
  <c r="P21" i="18" a="1"/>
  <c r="P21" i="18" s="1"/>
  <c r="G27" i="18" a="1"/>
  <c r="G27" i="18" s="1"/>
  <c r="I25" i="18" a="1"/>
  <c r="I25" i="18" s="1"/>
  <c r="M21" i="18" a="1"/>
  <c r="M21" i="18" s="1"/>
  <c r="B31" i="18" a="1"/>
  <c r="B31" i="18" s="1"/>
  <c r="L21" i="18" a="1"/>
  <c r="L21" i="18" s="1"/>
  <c r="J34" i="18" a="1"/>
  <c r="J34" i="18" s="1"/>
  <c r="E23" i="18" a="1"/>
  <c r="E23" i="18" s="1"/>
  <c r="I34" i="18" a="1"/>
  <c r="I34" i="18" s="1"/>
  <c r="J32" i="18" a="1"/>
  <c r="J32" i="18" s="1"/>
  <c r="E21" i="18" a="1"/>
  <c r="E21" i="18" s="1"/>
  <c r="H32" i="18" a="1"/>
  <c r="H32" i="18" s="1"/>
  <c r="K28" i="18" a="1"/>
  <c r="K28" i="18" s="1"/>
  <c r="C34" i="18" a="1"/>
  <c r="C34" i="18" s="1"/>
  <c r="O35" i="18" a="1"/>
  <c r="O35" i="18" s="1"/>
  <c r="P33" i="18" a="1"/>
  <c r="P33" i="18" s="1"/>
  <c r="B37" i="18" a="1"/>
  <c r="B37" i="18" s="1"/>
  <c r="A37" i="18" a="1"/>
  <c r="A37" i="18" s="1"/>
  <c r="Q36" i="18" a="1"/>
  <c r="Q36" i="18" s="1"/>
  <c r="P36" i="18" a="1"/>
  <c r="P36" i="18" s="1"/>
  <c r="A35" i="18" a="1"/>
  <c r="A35" i="18" s="1"/>
  <c r="C33" i="18" a="1"/>
  <c r="C33" i="18" s="1"/>
  <c r="E31" i="18" a="1"/>
  <c r="E31" i="18" s="1"/>
  <c r="G29" i="18" a="1"/>
  <c r="G29" i="18" s="1"/>
  <c r="I27" i="18" a="1"/>
  <c r="I27" i="18" s="1"/>
  <c r="K25" i="18" a="1"/>
  <c r="K25" i="18" s="1"/>
  <c r="M23" i="18" a="1"/>
  <c r="M23" i="18" s="1"/>
  <c r="O21" i="18" a="1"/>
  <c r="O21" i="18" s="1"/>
  <c r="Q34" i="18" a="1"/>
  <c r="Q34" i="18" s="1"/>
  <c r="B33" i="18" a="1"/>
  <c r="B33" i="18" s="1"/>
  <c r="D31" i="18" a="1"/>
  <c r="D31" i="18" s="1"/>
  <c r="F29" i="18" a="1"/>
  <c r="F29" i="18" s="1"/>
  <c r="H27" i="18" a="1"/>
  <c r="H27" i="18" s="1"/>
  <c r="J25" i="18" a="1"/>
  <c r="J25" i="18" s="1"/>
  <c r="L23" i="18" a="1"/>
  <c r="L23" i="18" s="1"/>
  <c r="N21" i="18" a="1"/>
  <c r="N21" i="18" s="1"/>
  <c r="P34" i="18" a="1"/>
  <c r="P34" i="18" s="1"/>
  <c r="C31" i="18" a="1"/>
  <c r="C31" i="18" s="1"/>
  <c r="K23" i="18" a="1"/>
  <c r="K23" i="18" s="1"/>
  <c r="F27" i="18" a="1"/>
  <c r="F27" i="18" s="1"/>
  <c r="L22" i="18" a="1"/>
  <c r="L22" i="18" s="1"/>
  <c r="R17" i="12"/>
  <c r="X16" i="12" a="1"/>
  <c r="X16" i="12" s="1"/>
  <c r="H16" i="12" s="1"/>
  <c r="B16" i="12"/>
  <c r="L9" i="12"/>
  <c r="X100" i="12" a="1"/>
  <c r="X100" i="12" s="1"/>
  <c r="H100" i="12" s="1"/>
  <c r="R101" i="12"/>
  <c r="B100" i="12"/>
  <c r="R84" i="12"/>
  <c r="B83" i="12"/>
  <c r="X83" i="12" a="1"/>
  <c r="X83" i="12" s="1"/>
  <c r="H83" i="12" s="1"/>
  <c r="B237" i="12"/>
  <c r="R238" i="12"/>
  <c r="X237" i="12" a="1"/>
  <c r="X237" i="12" s="1"/>
  <c r="H237" i="12" s="1"/>
  <c r="B67" i="12"/>
  <c r="R68" i="12"/>
  <c r="X67" i="12" a="1"/>
  <c r="X67" i="12" s="1"/>
  <c r="H67" i="12" s="1"/>
  <c r="X151" i="12" a="1"/>
  <c r="X151" i="12" s="1"/>
  <c r="H151" i="12" s="1"/>
  <c r="B151" i="12"/>
  <c r="R152" i="12"/>
  <c r="X49" i="12" a="1"/>
  <c r="X49" i="12" s="1"/>
  <c r="H49" i="12" s="1"/>
  <c r="B49" i="12"/>
  <c r="R50" i="12"/>
  <c r="X168" i="12" a="1"/>
  <c r="X168" i="12" s="1"/>
  <c r="H168" i="12" s="1"/>
  <c r="B168" i="12"/>
  <c r="R169" i="12"/>
  <c r="R119" i="12"/>
  <c r="X118" i="12" a="1"/>
  <c r="X118" i="12" s="1"/>
  <c r="H118" i="12" s="1"/>
  <c r="B118" i="12"/>
  <c r="R204" i="12"/>
  <c r="B203" i="12"/>
  <c r="X203" i="12" a="1"/>
  <c r="X203" i="12" s="1"/>
  <c r="H203" i="12" s="1"/>
  <c r="R35" i="12"/>
  <c r="B34" i="12"/>
  <c r="X34" i="12" a="1"/>
  <c r="X34" i="12" s="1"/>
  <c r="H34" i="12" s="1"/>
  <c r="X219" i="12" a="1"/>
  <c r="X219" i="12" s="1"/>
  <c r="H219" i="12" s="1"/>
  <c r="R220" i="12"/>
  <c r="B219" i="12"/>
  <c r="B134" i="12"/>
  <c r="X134" i="12" a="1"/>
  <c r="X134" i="12" s="1"/>
  <c r="H134" i="12" s="1"/>
  <c r="R135" i="12"/>
  <c r="X185" i="12" a="1"/>
  <c r="X185" i="12" s="1"/>
  <c r="H185" i="12" s="1"/>
  <c r="R186" i="12"/>
  <c r="B185" i="12"/>
  <c r="M34" i="18" l="1" a="1"/>
  <c r="M34" i="18" s="1"/>
  <c r="A31" i="18" a="1"/>
  <c r="A31" i="18" s="1"/>
  <c r="K30" i="18" a="1"/>
  <c r="K30" i="18" s="1"/>
  <c r="L35" i="18" a="1"/>
  <c r="L35" i="18" s="1"/>
  <c r="F36" i="18" a="1"/>
  <c r="F36" i="18" s="1"/>
  <c r="D25" i="18" a="1"/>
  <c r="D25" i="18" s="1"/>
  <c r="E25" i="18" a="1"/>
  <c r="E25" i="18" s="1"/>
  <c r="I23" i="18" a="1"/>
  <c r="I23" i="18" s="1"/>
  <c r="E27" i="18" a="1"/>
  <c r="E27" i="18" s="1"/>
  <c r="G36" i="18" a="1"/>
  <c r="G36" i="18" s="1"/>
  <c r="C29" i="18" a="1"/>
  <c r="C29" i="18" s="1"/>
  <c r="K36" i="18" a="1"/>
  <c r="K36" i="18" s="1"/>
  <c r="N36" i="18" a="1"/>
  <c r="N36" i="18" s="1"/>
  <c r="P35" i="18" a="1"/>
  <c r="P35" i="18" s="1"/>
  <c r="I24" i="18" a="1"/>
  <c r="I24" i="18" s="1"/>
  <c r="H26" i="18" a="1"/>
  <c r="H26" i="18" s="1"/>
  <c r="C25" i="18" a="1"/>
  <c r="C25" i="18" s="1"/>
  <c r="J23" i="18" a="1"/>
  <c r="J23" i="18" s="1"/>
  <c r="H28" i="18" a="1"/>
  <c r="H28" i="18" s="1"/>
  <c r="O22" i="18" a="1"/>
  <c r="O22" i="18" s="1"/>
  <c r="J21" i="18" a="1"/>
  <c r="J21" i="18" s="1"/>
  <c r="Q32" i="18" a="1"/>
  <c r="Q32" i="18" s="1"/>
  <c r="F30" i="18" a="1"/>
  <c r="F30" i="18" s="1"/>
  <c r="B21" i="18" a="1"/>
  <c r="B21" i="18" s="1"/>
  <c r="P27" i="18" a="1"/>
  <c r="P27" i="18" s="1"/>
  <c r="Q35" i="18" a="1"/>
  <c r="Q35" i="18" s="1"/>
  <c r="L30" i="18" a="1"/>
  <c r="L30" i="18" s="1"/>
  <c r="J26" i="18" a="1"/>
  <c r="J26" i="18" s="1"/>
  <c r="K29" i="18" a="1"/>
  <c r="K29" i="18" s="1"/>
  <c r="M29" i="18" a="1"/>
  <c r="M29" i="18" s="1"/>
  <c r="E24" i="18" a="1"/>
  <c r="E24" i="18" s="1"/>
  <c r="D24" i="18" a="1"/>
  <c r="D24" i="18" s="1"/>
  <c r="O37" i="18" a="1"/>
  <c r="O37" i="18" s="1"/>
  <c r="P28" i="18" a="1"/>
  <c r="P28" i="18" s="1"/>
  <c r="E36" i="18" a="1"/>
  <c r="E36" i="18" s="1"/>
  <c r="A33" i="18" a="1"/>
  <c r="A33" i="18" s="1"/>
  <c r="E35" i="18" a="1"/>
  <c r="E35" i="18" s="1"/>
  <c r="E37" i="18" a="1"/>
  <c r="E37" i="18" s="1"/>
  <c r="N31" i="18" a="1"/>
  <c r="N31" i="18" s="1"/>
  <c r="M31" i="18" a="1"/>
  <c r="M31" i="18" s="1"/>
  <c r="A36" i="18" a="1"/>
  <c r="A36" i="18" s="1"/>
  <c r="K32" i="18" a="1"/>
  <c r="K32" i="18" s="1"/>
  <c r="P32" i="18" a="1"/>
  <c r="P32" i="18" s="1"/>
  <c r="N34" i="18" a="1"/>
  <c r="N34" i="18" s="1"/>
  <c r="C36" i="18" a="1"/>
  <c r="C36" i="18" s="1"/>
  <c r="Q28" i="18" a="1"/>
  <c r="Q28" i="18" s="1"/>
  <c r="O36" i="18" a="1"/>
  <c r="O36" i="18" s="1"/>
  <c r="M35" i="18" a="1"/>
  <c r="M35" i="18" s="1"/>
  <c r="N35" i="18" a="1"/>
  <c r="N35" i="18" s="1"/>
  <c r="M32" i="18" a="1"/>
  <c r="M32" i="18" s="1"/>
  <c r="K37" i="18" a="1"/>
  <c r="K37" i="18" s="1"/>
  <c r="I26" i="18" a="1"/>
  <c r="I26" i="18" s="1"/>
  <c r="K34" i="18" a="1"/>
  <c r="K34" i="18" s="1"/>
  <c r="O26" i="18" a="1"/>
  <c r="O26" i="18" s="1"/>
  <c r="C27" i="18" a="1"/>
  <c r="C27" i="18" s="1"/>
  <c r="I33" i="18" a="1"/>
  <c r="I33" i="18" s="1"/>
  <c r="K33" i="18" a="1"/>
  <c r="K33" i="18" s="1"/>
  <c r="C24" i="18" a="1"/>
  <c r="C24" i="18" s="1"/>
  <c r="A34" i="18" a="1"/>
  <c r="A34" i="18" s="1"/>
  <c r="M28" i="18" a="1"/>
  <c r="M28" i="18" s="1"/>
  <c r="A29" i="18" a="1"/>
  <c r="A29" i="18" s="1"/>
  <c r="P30" i="18" a="1"/>
  <c r="P30" i="18" s="1"/>
  <c r="I32" i="18" a="1"/>
  <c r="I32" i="18" s="1"/>
  <c r="N32" i="18" a="1"/>
  <c r="N32" i="18" s="1"/>
  <c r="F37" i="18" a="1"/>
  <c r="F37" i="18" s="1"/>
  <c r="A28" i="18" a="1"/>
  <c r="A28" i="18" s="1"/>
  <c r="N29" i="18" a="1"/>
  <c r="N29" i="18" s="1"/>
  <c r="L24" i="18" a="1"/>
  <c r="L24" i="18" s="1"/>
  <c r="G34" i="18" a="1"/>
  <c r="G34" i="18" s="1"/>
  <c r="L34" i="18" a="1"/>
  <c r="L34" i="18" s="1"/>
  <c r="J33" i="18" a="1"/>
  <c r="J33" i="18" s="1"/>
  <c r="R205" i="12"/>
  <c r="B204" i="12"/>
  <c r="X204" i="12" a="1"/>
  <c r="X204" i="12" s="1"/>
  <c r="H204" i="12" s="1"/>
  <c r="R36" i="12"/>
  <c r="X35" i="12" a="1"/>
  <c r="X35" i="12" s="1"/>
  <c r="H35" i="12" s="1"/>
  <c r="B35" i="12"/>
  <c r="B119" i="12"/>
  <c r="R120" i="12"/>
  <c r="X119" i="12" a="1"/>
  <c r="X119" i="12" s="1"/>
  <c r="H119" i="12" s="1"/>
  <c r="R51" i="12"/>
  <c r="X50" i="12" a="1"/>
  <c r="X50" i="12" s="1"/>
  <c r="H50" i="12" s="1"/>
  <c r="B50" i="12"/>
  <c r="R69" i="12"/>
  <c r="X68" i="12" a="1"/>
  <c r="X68" i="12" s="1"/>
  <c r="H68" i="12" s="1"/>
  <c r="B68" i="12"/>
  <c r="R239" i="12"/>
  <c r="X238" i="12" a="1"/>
  <c r="X238" i="12" s="1"/>
  <c r="H238" i="12" s="1"/>
  <c r="B238" i="12"/>
  <c r="X101" i="12" a="1"/>
  <c r="X101" i="12" s="1"/>
  <c r="H101" i="12" s="1"/>
  <c r="B101" i="12"/>
  <c r="R102" i="12"/>
  <c r="X169" i="12" a="1"/>
  <c r="X169" i="12" s="1"/>
  <c r="H169" i="12" s="1"/>
  <c r="R170" i="12"/>
  <c r="B169" i="12"/>
  <c r="X220" i="12" a="1"/>
  <c r="X220" i="12" s="1"/>
  <c r="H220" i="12" s="1"/>
  <c r="B220" i="12"/>
  <c r="R221" i="12"/>
  <c r="R153" i="12"/>
  <c r="X152" i="12" a="1"/>
  <c r="X152" i="12" s="1"/>
  <c r="H152" i="12" s="1"/>
  <c r="B152" i="12"/>
  <c r="X186" i="12" a="1"/>
  <c r="X186" i="12" s="1"/>
  <c r="H186" i="12" s="1"/>
  <c r="R187" i="12"/>
  <c r="B186" i="12"/>
  <c r="R136" i="12"/>
  <c r="B135" i="12"/>
  <c r="X135" i="12" a="1"/>
  <c r="X135" i="12" s="1"/>
  <c r="H135" i="12" s="1"/>
  <c r="R85" i="12"/>
  <c r="X84" i="12" a="1"/>
  <c r="X84" i="12" s="1"/>
  <c r="B84" i="12"/>
  <c r="B17" i="12"/>
  <c r="L10" i="12"/>
  <c r="R18" i="12"/>
  <c r="X17" i="12" a="1"/>
  <c r="X17" i="12" s="1"/>
  <c r="H17" i="12" s="1"/>
  <c r="AC3" i="18" l="1" a="1"/>
  <c r="X187" i="12" a="1"/>
  <c r="X187" i="12" s="1"/>
  <c r="H187" i="12" s="1"/>
  <c r="R188" i="12"/>
  <c r="B187" i="12"/>
  <c r="B102" i="12"/>
  <c r="R103" i="12"/>
  <c r="X102" i="12" a="1"/>
  <c r="X102" i="12" s="1"/>
  <c r="H102" i="12" s="1"/>
  <c r="X239" i="12" a="1"/>
  <c r="X239" i="12" s="1"/>
  <c r="H239" i="12" s="1"/>
  <c r="R240" i="12"/>
  <c r="B239" i="12"/>
  <c r="X221" i="12" a="1"/>
  <c r="X221" i="12" s="1"/>
  <c r="H221" i="12" s="1"/>
  <c r="B221" i="12"/>
  <c r="R222" i="12"/>
  <c r="R171" i="12"/>
  <c r="X170" i="12" a="1"/>
  <c r="X170" i="12" s="1"/>
  <c r="H170" i="12" s="1"/>
  <c r="B170" i="12"/>
  <c r="R70" i="12"/>
  <c r="B69" i="12"/>
  <c r="X69" i="12" a="1"/>
  <c r="X69" i="12" s="1"/>
  <c r="H69" i="12" s="1"/>
  <c r="R19" i="12"/>
  <c r="X18" i="12" a="1"/>
  <c r="X18" i="12" s="1"/>
  <c r="H18" i="12" s="1"/>
  <c r="B18" i="12"/>
  <c r="L11" i="12"/>
  <c r="R86" i="12"/>
  <c r="X85" i="12" a="1"/>
  <c r="X85" i="12" s="1"/>
  <c r="H85" i="12" s="1"/>
  <c r="B85" i="12"/>
  <c r="X36" i="12" a="1"/>
  <c r="X36" i="12" s="1"/>
  <c r="H36" i="12" s="1"/>
  <c r="R37" i="12"/>
  <c r="B36" i="12"/>
  <c r="X153" i="12" a="1"/>
  <c r="X153" i="12" s="1"/>
  <c r="H153" i="12" s="1"/>
  <c r="R154" i="12"/>
  <c r="B153" i="12"/>
  <c r="R52" i="12"/>
  <c r="B51" i="12"/>
  <c r="X51" i="12" a="1"/>
  <c r="X51" i="12" s="1"/>
  <c r="H51" i="12" s="1"/>
  <c r="X120" i="12" a="1"/>
  <c r="X120" i="12" s="1"/>
  <c r="H120" i="12" s="1"/>
  <c r="R121" i="12"/>
  <c r="B120" i="12"/>
  <c r="X136" i="12" a="1"/>
  <c r="X136" i="12" s="1"/>
  <c r="H136" i="12" s="1"/>
  <c r="R137" i="12"/>
  <c r="B136" i="12"/>
  <c r="X205" i="12" a="1"/>
  <c r="X205" i="12" s="1"/>
  <c r="H205" i="12" s="1"/>
  <c r="R206" i="12"/>
  <c r="B205" i="12"/>
  <c r="AE81" i="18" l="1"/>
  <c r="AF81" i="18" s="1"/>
  <c r="AE82" i="18"/>
  <c r="AF82" i="18" s="1"/>
  <c r="AE83" i="18"/>
  <c r="AF83" i="18" s="1"/>
  <c r="AE80" i="18"/>
  <c r="AF80" i="18" s="1"/>
  <c r="AE79" i="18"/>
  <c r="AF79" i="18" s="1"/>
  <c r="AE78" i="18"/>
  <c r="AF78" i="18" s="1"/>
  <c r="AC3" i="18"/>
  <c r="AE3" i="18" s="1"/>
  <c r="AE76" i="18"/>
  <c r="AF76" i="18" s="1"/>
  <c r="AE35" i="18"/>
  <c r="AF35" i="18" s="1"/>
  <c r="AE9" i="18"/>
  <c r="AF9" i="18" s="1"/>
  <c r="AE41" i="18"/>
  <c r="AF41" i="18" s="1"/>
  <c r="AE10" i="18"/>
  <c r="AF10" i="18" s="1"/>
  <c r="AE43" i="18"/>
  <c r="AF43" i="18" s="1"/>
  <c r="AE50" i="18"/>
  <c r="AF50" i="18" s="1"/>
  <c r="AE12" i="18"/>
  <c r="AF12" i="18" s="1"/>
  <c r="AE52" i="18"/>
  <c r="AF52" i="18" s="1"/>
  <c r="AE19" i="18"/>
  <c r="AF19" i="18" s="1"/>
  <c r="AE44" i="18"/>
  <c r="AF44" i="18" s="1"/>
  <c r="AE53" i="18"/>
  <c r="AF53" i="18" s="1"/>
  <c r="AE5" i="18"/>
  <c r="AF5" i="18" s="1"/>
  <c r="AE13" i="18"/>
  <c r="AF13" i="18" s="1"/>
  <c r="AE54" i="18"/>
  <c r="AF54" i="18" s="1"/>
  <c r="AE37" i="18"/>
  <c r="AF37" i="18" s="1"/>
  <c r="AE45" i="18"/>
  <c r="AF45" i="18" s="1"/>
  <c r="AE22" i="18"/>
  <c r="AF22" i="18" s="1"/>
  <c r="AE56" i="18"/>
  <c r="AF56" i="18" s="1"/>
  <c r="AE23" i="18"/>
  <c r="AF23" i="18" s="1"/>
  <c r="AE57" i="18"/>
  <c r="AF57" i="18" s="1"/>
  <c r="AE24" i="18"/>
  <c r="AF24" i="18" s="1"/>
  <c r="AE58" i="18"/>
  <c r="AF58" i="18" s="1"/>
  <c r="AE25" i="18"/>
  <c r="AF25" i="18" s="1"/>
  <c r="AE6" i="18"/>
  <c r="AF6" i="18" s="1"/>
  <c r="AE60" i="18"/>
  <c r="AF60" i="18" s="1"/>
  <c r="AE38" i="18"/>
  <c r="AF38" i="18" s="1"/>
  <c r="AE29" i="18"/>
  <c r="AF29" i="18" s="1"/>
  <c r="AE61" i="18"/>
  <c r="AF61" i="18" s="1"/>
  <c r="AE34" i="18"/>
  <c r="AF34" i="18" s="1"/>
  <c r="AE15" i="18"/>
  <c r="AF15" i="18" s="1"/>
  <c r="AE63" i="18"/>
  <c r="AF63" i="18" s="1"/>
  <c r="AE27" i="18"/>
  <c r="AF27" i="18" s="1"/>
  <c r="AE64" i="18"/>
  <c r="AF64" i="18" s="1"/>
  <c r="AE65" i="18"/>
  <c r="AF65" i="18" s="1"/>
  <c r="AE30" i="18"/>
  <c r="AF30" i="18" s="1"/>
  <c r="AE68" i="18"/>
  <c r="AF68" i="18" s="1"/>
  <c r="AE7" i="18"/>
  <c r="AF7" i="18" s="1"/>
  <c r="AE39" i="18"/>
  <c r="AF39" i="18" s="1"/>
  <c r="AE70" i="18"/>
  <c r="AF70" i="18" s="1"/>
  <c r="AE18" i="18"/>
  <c r="AF18" i="18" s="1"/>
  <c r="AE8" i="18"/>
  <c r="AF8" i="18" s="1"/>
  <c r="AE72" i="18"/>
  <c r="AF72" i="18" s="1"/>
  <c r="AE40" i="18"/>
  <c r="AF40" i="18" s="1"/>
  <c r="AE73" i="18"/>
  <c r="AF73" i="18" s="1"/>
  <c r="AE17" i="18"/>
  <c r="AF17" i="18" s="1"/>
  <c r="AE75" i="18"/>
  <c r="AF75" i="18" s="1"/>
  <c r="AE77" i="18"/>
  <c r="AF77" i="18" s="1"/>
  <c r="AE51" i="18"/>
  <c r="AF51" i="18" s="1"/>
  <c r="AE46" i="18"/>
  <c r="AF46" i="18" s="1"/>
  <c r="AE47" i="18"/>
  <c r="AF47" i="18" s="1"/>
  <c r="AE59" i="18"/>
  <c r="AF59" i="18" s="1"/>
  <c r="AE62" i="18"/>
  <c r="AF62" i="18" s="1"/>
  <c r="AE67" i="18"/>
  <c r="AF67" i="18" s="1"/>
  <c r="AE69" i="18"/>
  <c r="AF69" i="18" s="1"/>
  <c r="AE71" i="18"/>
  <c r="AF71" i="18" s="1"/>
  <c r="AE36" i="18"/>
  <c r="AF36" i="18" s="1"/>
  <c r="AE48" i="18"/>
  <c r="AF48" i="18" s="1"/>
  <c r="AE28" i="18"/>
  <c r="AF28" i="18" s="1"/>
  <c r="AE55" i="18"/>
  <c r="AF55" i="18" s="1"/>
  <c r="AE21" i="18"/>
  <c r="AF21" i="18" s="1"/>
  <c r="AE33" i="18"/>
  <c r="AF33" i="18" s="1"/>
  <c r="AE42" i="18"/>
  <c r="AF42" i="18" s="1"/>
  <c r="AE4" i="18"/>
  <c r="AF4" i="18" s="1"/>
  <c r="AE11" i="18"/>
  <c r="AF11" i="18" s="1"/>
  <c r="AE32" i="18"/>
  <c r="AF32" i="18" s="1"/>
  <c r="AE74" i="18"/>
  <c r="AF74" i="18" s="1"/>
  <c r="AE20" i="18"/>
  <c r="AF20" i="18" s="1"/>
  <c r="AE16" i="18"/>
  <c r="AF16" i="18" s="1"/>
  <c r="AE26" i="18"/>
  <c r="AF26" i="18" s="1"/>
  <c r="AE14" i="18"/>
  <c r="AF14" i="18" s="1"/>
  <c r="AE49" i="18"/>
  <c r="AF49" i="18" s="1"/>
  <c r="AE31" i="18"/>
  <c r="AF31" i="18" s="1"/>
  <c r="AE66" i="18"/>
  <c r="AF66" i="18" s="1"/>
  <c r="B154" i="12"/>
  <c r="R155" i="12"/>
  <c r="X154" i="12" a="1"/>
  <c r="X154" i="12" s="1"/>
  <c r="H154" i="12" s="1"/>
  <c r="B52" i="12"/>
  <c r="R53" i="12"/>
  <c r="X52" i="12" a="1"/>
  <c r="X52" i="12" s="1"/>
  <c r="H52" i="12" s="1"/>
  <c r="X37" i="12" a="1"/>
  <c r="X37" i="12" s="1"/>
  <c r="H37" i="12" s="1"/>
  <c r="B37" i="12"/>
  <c r="R38" i="12"/>
  <c r="X86" i="12" a="1"/>
  <c r="X86" i="12" s="1"/>
  <c r="H86" i="12" s="1"/>
  <c r="B86" i="12"/>
  <c r="R87" i="12"/>
  <c r="X222" i="12" a="1"/>
  <c r="X222" i="12" s="1"/>
  <c r="H222" i="12" s="1"/>
  <c r="R223" i="12"/>
  <c r="B222" i="12"/>
  <c r="X240" i="12" a="1"/>
  <c r="X240" i="12" s="1"/>
  <c r="H240" i="12" s="1"/>
  <c r="R241" i="12"/>
  <c r="B240" i="12"/>
  <c r="R138" i="12"/>
  <c r="X137" i="12" a="1"/>
  <c r="X137" i="12" s="1"/>
  <c r="H137" i="12" s="1"/>
  <c r="B137" i="12"/>
  <c r="X70" i="12" a="1"/>
  <c r="X70" i="12" s="1"/>
  <c r="H70" i="12" s="1"/>
  <c r="B70" i="12"/>
  <c r="R71" i="12"/>
  <c r="R172" i="12"/>
  <c r="B171" i="12"/>
  <c r="X171" i="12" a="1"/>
  <c r="X171" i="12" s="1"/>
  <c r="H171" i="12" s="1"/>
  <c r="B206" i="12"/>
  <c r="R207" i="12"/>
  <c r="X206" i="12" a="1"/>
  <c r="X206" i="12" s="1"/>
  <c r="H206" i="12" s="1"/>
  <c r="B103" i="12"/>
  <c r="R104" i="12"/>
  <c r="X103" i="12" a="1"/>
  <c r="X103" i="12" s="1"/>
  <c r="H103" i="12" s="1"/>
  <c r="B121" i="12"/>
  <c r="R122" i="12"/>
  <c r="X121" i="12" a="1"/>
  <c r="X121" i="12" s="1"/>
  <c r="H121" i="12" s="1"/>
  <c r="B19" i="12"/>
  <c r="R20" i="12"/>
  <c r="L12" i="12"/>
  <c r="X19" i="12" a="1"/>
  <c r="X19" i="12" s="1"/>
  <c r="H19" i="12" s="1"/>
  <c r="X188" i="12" a="1"/>
  <c r="X188" i="12" s="1"/>
  <c r="H188" i="12" s="1"/>
  <c r="B188" i="12"/>
  <c r="R189" i="12"/>
  <c r="AF3" i="18" l="1"/>
  <c r="R105" i="12"/>
  <c r="B104" i="12"/>
  <c r="X104" i="12" a="1"/>
  <c r="X104" i="12" s="1"/>
  <c r="H104" i="12" s="1"/>
  <c r="X172" i="12" a="1"/>
  <c r="X172" i="12" s="1"/>
  <c r="H172" i="12" s="1"/>
  <c r="R173" i="12"/>
  <c r="B172" i="12"/>
  <c r="B138" i="12"/>
  <c r="X138" i="12" a="1"/>
  <c r="X138" i="12" s="1"/>
  <c r="H138" i="12" s="1"/>
  <c r="R139" i="12"/>
  <c r="R21" i="12"/>
  <c r="X20" i="12" a="1"/>
  <c r="X20" i="12" s="1"/>
  <c r="H20" i="12" s="1"/>
  <c r="L13" i="12"/>
  <c r="B20" i="12"/>
  <c r="R208" i="12"/>
  <c r="X207" i="12" a="1"/>
  <c r="X207" i="12" s="1"/>
  <c r="H207" i="12" s="1"/>
  <c r="B207" i="12"/>
  <c r="X71" i="12" a="1"/>
  <c r="X71" i="12" s="1"/>
  <c r="H71" i="12" s="1"/>
  <c r="B71" i="12"/>
  <c r="R72" i="12"/>
  <c r="X241" i="12" a="1"/>
  <c r="X241" i="12" s="1"/>
  <c r="H241" i="12" s="1"/>
  <c r="R242" i="12"/>
  <c r="B241" i="12"/>
  <c r="B223" i="12"/>
  <c r="X223" i="12" a="1"/>
  <c r="X223" i="12" s="1"/>
  <c r="H223" i="12" s="1"/>
  <c r="R224" i="12"/>
  <c r="B87" i="12"/>
  <c r="R88" i="12"/>
  <c r="X87" i="12" a="1"/>
  <c r="X87" i="12" s="1"/>
  <c r="H87" i="12" s="1"/>
  <c r="R190" i="12"/>
  <c r="X189" i="12" a="1"/>
  <c r="X189" i="12" s="1"/>
  <c r="H189" i="12" s="1"/>
  <c r="B189" i="12"/>
  <c r="R39" i="12"/>
  <c r="X38" i="12" a="1"/>
  <c r="X38" i="12" s="1"/>
  <c r="H38" i="12" s="1"/>
  <c r="B38" i="12"/>
  <c r="R54" i="12"/>
  <c r="B53" i="12"/>
  <c r="X53" i="12" a="1"/>
  <c r="X53" i="12" s="1"/>
  <c r="H53" i="12" s="1"/>
  <c r="R123" i="12"/>
  <c r="X122" i="12" a="1"/>
  <c r="X122" i="12" s="1"/>
  <c r="H122" i="12" s="1"/>
  <c r="B122" i="12"/>
  <c r="X155" i="12" a="1"/>
  <c r="X155" i="12" s="1"/>
  <c r="H155" i="12" s="1"/>
  <c r="R156" i="12"/>
  <c r="B155" i="12"/>
  <c r="AH3" i="18" l="1" a="1"/>
  <c r="AH3" i="18" s="1"/>
  <c r="R89" i="12"/>
  <c r="X88" i="12" a="1"/>
  <c r="X88" i="12" s="1"/>
  <c r="H88" i="12" s="1"/>
  <c r="B88" i="12"/>
  <c r="B72" i="12"/>
  <c r="R73" i="12"/>
  <c r="X72" i="12" a="1"/>
  <c r="X72" i="12" s="1"/>
  <c r="H72" i="12" s="1"/>
  <c r="R209" i="12"/>
  <c r="X208" i="12" a="1"/>
  <c r="X208" i="12" s="1"/>
  <c r="H208" i="12" s="1"/>
  <c r="B208" i="12"/>
  <c r="X139" i="12" a="1"/>
  <c r="X139" i="12" s="1"/>
  <c r="H139" i="12" s="1"/>
  <c r="B139" i="12"/>
  <c r="R140" i="12"/>
  <c r="X173" i="12" a="1"/>
  <c r="X173" i="12" s="1"/>
  <c r="H173" i="12" s="1"/>
  <c r="B173" i="12"/>
  <c r="R174" i="12"/>
  <c r="R225" i="12"/>
  <c r="X224" i="12" a="1"/>
  <c r="X224" i="12" s="1"/>
  <c r="H224" i="12" s="1"/>
  <c r="B224" i="12"/>
  <c r="R243" i="12"/>
  <c r="X242" i="12" a="1"/>
  <c r="X242" i="12" s="1"/>
  <c r="H242" i="12" s="1"/>
  <c r="B242" i="12"/>
  <c r="B156" i="12"/>
  <c r="R157" i="12"/>
  <c r="X156" i="12" a="1"/>
  <c r="X156" i="12" s="1"/>
  <c r="H156" i="12" s="1"/>
  <c r="R124" i="12"/>
  <c r="B123" i="12"/>
  <c r="X123" i="12" a="1"/>
  <c r="X123" i="12" s="1"/>
  <c r="H123" i="12" s="1"/>
  <c r="R40" i="12"/>
  <c r="B39" i="12"/>
  <c r="X39" i="12" a="1"/>
  <c r="X39" i="12" s="1"/>
  <c r="H39" i="12" s="1"/>
  <c r="R191" i="12"/>
  <c r="B190" i="12"/>
  <c r="X190" i="12" a="1"/>
  <c r="X190" i="12" s="1"/>
  <c r="H190" i="12" s="1"/>
  <c r="L14" i="12"/>
  <c r="B21" i="12"/>
  <c r="R22" i="12"/>
  <c r="X21" i="12" a="1"/>
  <c r="X21" i="12" s="1"/>
  <c r="H21" i="12" s="1"/>
  <c r="X54" i="12" a="1"/>
  <c r="X54" i="12" s="1"/>
  <c r="H54" i="12" s="1"/>
  <c r="B54" i="12"/>
  <c r="R55" i="12"/>
  <c r="X105" i="12" a="1"/>
  <c r="X105" i="12" s="1"/>
  <c r="H105" i="12" s="1"/>
  <c r="B105" i="12"/>
  <c r="R106" i="12"/>
  <c r="X40" i="12" l="1" a="1"/>
  <c r="X40" i="12" s="1"/>
  <c r="H40" i="12" s="1"/>
  <c r="R41" i="12"/>
  <c r="B40" i="12"/>
  <c r="B191" i="12"/>
  <c r="R192" i="12"/>
  <c r="X191" i="12" a="1"/>
  <c r="X191" i="12" s="1"/>
  <c r="H191" i="12" s="1"/>
  <c r="B124" i="12"/>
  <c r="R125" i="12"/>
  <c r="X124" i="12" a="1"/>
  <c r="X124" i="12" s="1"/>
  <c r="H124" i="12" s="1"/>
  <c r="B157" i="12"/>
  <c r="X157" i="12" a="1"/>
  <c r="X157" i="12" s="1"/>
  <c r="H157" i="12" s="1"/>
  <c r="R158" i="12"/>
  <c r="X225" i="12" a="1"/>
  <c r="X225" i="12" s="1"/>
  <c r="H225" i="12" s="1"/>
  <c r="R226" i="12"/>
  <c r="B225" i="12"/>
  <c r="X106" i="12" a="1"/>
  <c r="X106" i="12" s="1"/>
  <c r="H106" i="12" s="1"/>
  <c r="R107" i="12"/>
  <c r="B106" i="12"/>
  <c r="B55" i="12"/>
  <c r="R56" i="12"/>
  <c r="X55" i="12" a="1"/>
  <c r="X55" i="12" s="1"/>
  <c r="H55" i="12" s="1"/>
  <c r="B209" i="12"/>
  <c r="R210" i="12"/>
  <c r="X209" i="12" a="1"/>
  <c r="X209" i="12" s="1"/>
  <c r="H209" i="12" s="1"/>
  <c r="R74" i="12"/>
  <c r="X73" i="12" a="1"/>
  <c r="X73" i="12" s="1"/>
  <c r="H73" i="12" s="1"/>
  <c r="B73" i="12"/>
  <c r="B22" i="12"/>
  <c r="R23" i="12"/>
  <c r="X22" i="12" a="1"/>
  <c r="X22" i="12" s="1"/>
  <c r="H22" i="12" s="1"/>
  <c r="L15" i="12"/>
  <c r="R244" i="12"/>
  <c r="X243" i="12" a="1"/>
  <c r="X243" i="12" s="1"/>
  <c r="H243" i="12" s="1"/>
  <c r="B243" i="12"/>
  <c r="B174" i="12"/>
  <c r="X174" i="12" a="1"/>
  <c r="X174" i="12" s="1"/>
  <c r="H174" i="12" s="1"/>
  <c r="R175" i="12"/>
  <c r="R141" i="12"/>
  <c r="B140" i="12"/>
  <c r="X140" i="12" a="1"/>
  <c r="X140" i="12" s="1"/>
  <c r="H140" i="12" s="1"/>
  <c r="R90" i="12"/>
  <c r="X89" i="12" a="1"/>
  <c r="X89" i="12" s="1"/>
  <c r="H89" i="12" s="1"/>
  <c r="B89" i="12"/>
  <c r="R245" i="12" l="1"/>
  <c r="B244" i="12"/>
  <c r="X244" i="12" a="1"/>
  <c r="X244" i="12" s="1"/>
  <c r="H244" i="12" s="1"/>
  <c r="R24" i="12"/>
  <c r="L16" i="12"/>
  <c r="X23" i="12" a="1"/>
  <c r="X23" i="12" s="1"/>
  <c r="H23" i="12" s="1"/>
  <c r="B23" i="12"/>
  <c r="B56" i="12"/>
  <c r="R57" i="12"/>
  <c r="X56" i="12" a="1"/>
  <c r="X56" i="12" s="1"/>
  <c r="H56" i="12" s="1"/>
  <c r="X107" i="12" a="1"/>
  <c r="X107" i="12" s="1"/>
  <c r="H107" i="12" s="1"/>
  <c r="B107" i="12"/>
  <c r="R108" i="12"/>
  <c r="X210" i="12" a="1"/>
  <c r="X210" i="12" s="1"/>
  <c r="H210" i="12" s="1"/>
  <c r="B210" i="12"/>
  <c r="R211" i="12"/>
  <c r="X226" i="12" a="1"/>
  <c r="X226" i="12" s="1"/>
  <c r="H226" i="12" s="1"/>
  <c r="B226" i="12"/>
  <c r="R227" i="12"/>
  <c r="X125" i="12" a="1"/>
  <c r="X125" i="12" s="1"/>
  <c r="H125" i="12" s="1"/>
  <c r="R126" i="12"/>
  <c r="B125" i="12"/>
  <c r="R142" i="12"/>
  <c r="X141" i="12" a="1"/>
  <c r="X141" i="12" s="1"/>
  <c r="H141" i="12" s="1"/>
  <c r="B141" i="12"/>
  <c r="R176" i="12"/>
  <c r="B175" i="12"/>
  <c r="X175" i="12" a="1"/>
  <c r="X175" i="12" s="1"/>
  <c r="H175" i="12" s="1"/>
  <c r="X192" i="12" a="1"/>
  <c r="X192" i="12" s="1"/>
  <c r="H192" i="12" s="1"/>
  <c r="B192" i="12"/>
  <c r="R193" i="12"/>
  <c r="R75" i="12"/>
  <c r="X74" i="12" a="1"/>
  <c r="X74" i="12" s="1"/>
  <c r="H74" i="12" s="1"/>
  <c r="B74" i="12"/>
  <c r="X158" i="12" a="1"/>
  <c r="X158" i="12" s="1"/>
  <c r="H158" i="12" s="1"/>
  <c r="B158" i="12"/>
  <c r="R159" i="12"/>
  <c r="R91" i="12"/>
  <c r="B90" i="12"/>
  <c r="X90" i="12" a="1"/>
  <c r="X90" i="12" s="1"/>
  <c r="H90" i="12" s="1"/>
  <c r="R42" i="12"/>
  <c r="B42" i="12" s="1"/>
  <c r="B41" i="12"/>
  <c r="X41" i="12" a="1"/>
  <c r="X41" i="12" s="1"/>
  <c r="H41" i="12" s="1"/>
  <c r="R246" i="12" l="1"/>
  <c r="B245" i="12"/>
  <c r="X245" i="12" a="1"/>
  <c r="X245" i="12" s="1"/>
  <c r="H245" i="12" s="1"/>
  <c r="B75" i="12"/>
  <c r="R76" i="12"/>
  <c r="X75" i="12" a="1"/>
  <c r="X75" i="12" s="1"/>
  <c r="H75" i="12" s="1"/>
  <c r="X193" i="12" a="1"/>
  <c r="X193" i="12" s="1"/>
  <c r="H193" i="12" s="1"/>
  <c r="R194" i="12"/>
  <c r="B193" i="12"/>
  <c r="X126" i="12" a="1"/>
  <c r="X126" i="12" s="1"/>
  <c r="H126" i="12" s="1"/>
  <c r="R127" i="12"/>
  <c r="B126" i="12"/>
  <c r="R58" i="12"/>
  <c r="B57" i="12"/>
  <c r="X57" i="12" a="1"/>
  <c r="X57" i="12" s="1"/>
  <c r="H57" i="12" s="1"/>
  <c r="B91" i="12"/>
  <c r="R92" i="12"/>
  <c r="X91" i="12" a="1"/>
  <c r="X91" i="12" s="1"/>
  <c r="H91" i="12" s="1"/>
  <c r="B159" i="12"/>
  <c r="R160" i="12"/>
  <c r="X159" i="12" a="1"/>
  <c r="X159" i="12" s="1"/>
  <c r="H159" i="12" s="1"/>
  <c r="B176" i="12"/>
  <c r="R177" i="12"/>
  <c r="X176" i="12" a="1"/>
  <c r="X176" i="12" s="1"/>
  <c r="H176" i="12" s="1"/>
  <c r="X142" i="12" a="1"/>
  <c r="X142" i="12" s="1"/>
  <c r="H142" i="12" s="1"/>
  <c r="R143" i="12"/>
  <c r="B142" i="12"/>
  <c r="R228" i="12"/>
  <c r="X227" i="12" a="1"/>
  <c r="X227" i="12" s="1"/>
  <c r="H227" i="12" s="1"/>
  <c r="B227" i="12"/>
  <c r="B211" i="12"/>
  <c r="R212" i="12"/>
  <c r="X211" i="12" a="1"/>
  <c r="X211" i="12" s="1"/>
  <c r="H211" i="12" s="1"/>
  <c r="R109" i="12"/>
  <c r="X108" i="12" a="1"/>
  <c r="X108" i="12" s="1"/>
  <c r="H108" i="12" s="1"/>
  <c r="B108" i="12"/>
  <c r="X24" i="12" a="1"/>
  <c r="X24" i="12" s="1"/>
  <c r="H24" i="12" s="1"/>
  <c r="B24" i="12"/>
  <c r="R25" i="12"/>
  <c r="R144" i="12" l="1"/>
  <c r="B143" i="12"/>
  <c r="X143" i="12" a="1"/>
  <c r="X143" i="12" s="1"/>
  <c r="H143" i="12" s="1"/>
  <c r="B177" i="12"/>
  <c r="X177" i="12" a="1"/>
  <c r="X177" i="12" s="1"/>
  <c r="H177" i="12" s="1"/>
  <c r="R178" i="12"/>
  <c r="X160" i="12" a="1"/>
  <c r="X160" i="12" s="1"/>
  <c r="H160" i="12" s="1"/>
  <c r="R161" i="12"/>
  <c r="B160" i="12"/>
  <c r="X58" i="12" a="1"/>
  <c r="X58" i="12" s="1"/>
  <c r="H58" i="12" s="1"/>
  <c r="R59" i="12"/>
  <c r="B58" i="12"/>
  <c r="X127" i="12" a="1"/>
  <c r="X127" i="12" s="1"/>
  <c r="H127" i="12" s="1"/>
  <c r="B127" i="12"/>
  <c r="B228" i="12"/>
  <c r="R229" i="12"/>
  <c r="X228" i="12" a="1"/>
  <c r="X228" i="12" s="1"/>
  <c r="H228" i="12" s="1"/>
  <c r="R93" i="12"/>
  <c r="X92" i="12" a="1"/>
  <c r="X92" i="12" s="1"/>
  <c r="H92" i="12" s="1"/>
  <c r="B92" i="12"/>
  <c r="B194" i="12"/>
  <c r="R195" i="12"/>
  <c r="X194" i="12" a="1"/>
  <c r="X194" i="12" s="1"/>
  <c r="H194" i="12" s="1"/>
  <c r="X25" i="12" a="1"/>
  <c r="X25" i="12" s="1"/>
  <c r="H25" i="12" s="1"/>
  <c r="B25" i="12"/>
  <c r="X76" i="12" a="1"/>
  <c r="X76" i="12" s="1"/>
  <c r="H76" i="12" s="1"/>
  <c r="B76" i="12"/>
  <c r="X212" i="12" a="1"/>
  <c r="X212" i="12" s="1"/>
  <c r="H212" i="12" s="1"/>
  <c r="B212" i="12"/>
  <c r="X109" i="12" a="1"/>
  <c r="X109" i="12" s="1"/>
  <c r="H109" i="12" s="1"/>
  <c r="R110" i="12"/>
  <c r="B109" i="12"/>
  <c r="X246" i="12" a="1"/>
  <c r="X246" i="12" s="1"/>
  <c r="H246" i="12" s="1"/>
  <c r="B246" i="12"/>
  <c r="X110" i="12" l="1" a="1"/>
  <c r="X110" i="12" s="1"/>
  <c r="H110" i="12" s="1"/>
  <c r="B110" i="12"/>
  <c r="B93" i="12"/>
  <c r="X93" i="12" a="1"/>
  <c r="X93" i="12" s="1"/>
  <c r="H93" i="12" s="1"/>
  <c r="X229" i="12" a="1"/>
  <c r="X229" i="12" s="1"/>
  <c r="H229" i="12" s="1"/>
  <c r="B229" i="12"/>
  <c r="B59" i="12"/>
  <c r="X59" i="12" a="1"/>
  <c r="X59" i="12" s="1"/>
  <c r="H59" i="12" s="1"/>
  <c r="B161" i="12"/>
  <c r="X161" i="12" a="1"/>
  <c r="X161" i="12" s="1"/>
  <c r="H161" i="12" s="1"/>
  <c r="X178" i="12" a="1"/>
  <c r="X178" i="12" s="1"/>
  <c r="H178" i="12" s="1"/>
  <c r="B178" i="12"/>
  <c r="B195" i="12"/>
  <c r="X195" i="12" a="1"/>
  <c r="X195" i="12" s="1"/>
  <c r="H195" i="12" s="1"/>
  <c r="B144" i="12"/>
  <c r="X144" i="12" a="1"/>
  <c r="X144" i="12" s="1"/>
  <c r="H144" i="12" s="1"/>
  <c r="T6" i="16" l="1"/>
  <c r="D6" i="16"/>
  <c r="T6" i="12"/>
  <c r="M4" i="15"/>
  <c r="D6" i="12"/>
  <c r="X7" i="16"/>
  <c r="H7" i="16"/>
  <c r="H7" i="12"/>
  <c r="Q5" i="15"/>
  <c r="X7" i="12"/>
  <c r="F6" i="16"/>
  <c r="V6" i="16"/>
  <c r="F6" i="12"/>
  <c r="O4" i="15"/>
  <c r="V6" i="12"/>
  <c r="F7" i="16"/>
  <c r="V7" i="16"/>
  <c r="F7" i="12"/>
  <c r="O5" i="15"/>
  <c r="V7" i="12"/>
  <c r="B6" i="16"/>
  <c r="B6" i="12"/>
  <c r="R6" i="12"/>
  <c r="K4" i="15"/>
  <c r="R6" i="16"/>
  <c r="D8" i="12"/>
  <c r="T8" i="16"/>
  <c r="D8" i="16"/>
  <c r="M6" i="15"/>
  <c r="T8" i="12"/>
  <c r="B8" i="12"/>
  <c r="R8" i="16"/>
  <c r="B8" i="16"/>
  <c r="K6" i="15"/>
  <c r="R8" i="12"/>
  <c r="R7" i="16"/>
  <c r="R7" i="12"/>
  <c r="B7" i="16"/>
  <c r="K5" i="15"/>
  <c r="B7" i="12"/>
  <c r="V5" i="16"/>
  <c r="F5" i="12"/>
  <c r="V5" i="12"/>
  <c r="O3" i="15"/>
  <c r="F5" i="16"/>
  <c r="R5" i="16"/>
  <c r="B5" i="12"/>
  <c r="R5" i="12"/>
  <c r="X6" i="16"/>
  <c r="X6" i="12"/>
  <c r="H6" i="12"/>
  <c r="Q4" i="15"/>
  <c r="H6" i="16"/>
  <c r="O6" i="15"/>
  <c r="Q6" i="15"/>
  <c r="D5" i="12"/>
  <c r="T5" i="12"/>
  <c r="D5" i="16"/>
  <c r="M3" i="15"/>
  <c r="T5" i="16"/>
  <c r="T7" i="16"/>
  <c r="D7" i="12"/>
  <c r="D7" i="16"/>
  <c r="M5" i="15"/>
  <c r="T7" i="12"/>
  <c r="X5" i="16"/>
  <c r="X5" i="12"/>
  <c r="H5" i="16"/>
  <c r="K3" i="15"/>
  <c r="B5" i="16"/>
  <c r="Q3" i="15"/>
  <c r="H5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<sst xmlns="http://schemas.openxmlformats.org/spreadsheetml/2006/main" count="4266" uniqueCount="512">
  <si>
    <t>Leaf</t>
  </si>
  <si>
    <t>Sand</t>
  </si>
  <si>
    <t>Water</t>
  </si>
  <si>
    <t>Lightning</t>
  </si>
  <si>
    <t>Poison</t>
  </si>
  <si>
    <t>Beetle</t>
  </si>
  <si>
    <t>Tooth</t>
  </si>
  <si>
    <t>Flame</t>
  </si>
  <si>
    <t>Steel</t>
  </si>
  <si>
    <t>Scale</t>
  </si>
  <si>
    <t>Essence</t>
  </si>
  <si>
    <t>Power</t>
  </si>
  <si>
    <t>Shadow</t>
  </si>
  <si>
    <t>Spirit</t>
  </si>
  <si>
    <t>TT2 Alchemy Recipe Book</t>
  </si>
  <si>
    <t>- - - - - -
A collection of all Alchemy Ingredients, Recipes, and Rewards
- - - - - -
by: rawrzcookie
- - - - - -</t>
  </si>
  <si>
    <t>Berries</t>
  </si>
  <si>
    <t>Mushroom</t>
  </si>
  <si>
    <t>Petal</t>
  </si>
  <si>
    <t>Acorn</t>
  </si>
  <si>
    <t>Feather</t>
  </si>
  <si>
    <t>Pepper</t>
  </si>
  <si>
    <t>Event Equipment (Safety Tongs)</t>
  </si>
  <si>
    <t>12 Currency</t>
  </si>
  <si>
    <t>18 Currency</t>
  </si>
  <si>
    <t>6 Raid Cards</t>
  </si>
  <si>
    <t>2 Rare Equipment</t>
  </si>
  <si>
    <t>1 Perk</t>
  </si>
  <si>
    <t>1 Rare Equipment</t>
  </si>
  <si>
    <t>25 Currency</t>
  </si>
  <si>
    <t>3 Eggs</t>
  </si>
  <si>
    <t>Event Equipment (Hair of Madness)</t>
  </si>
  <si>
    <t>15 Common Equipment</t>
  </si>
  <si>
    <t>2 Perks</t>
  </si>
  <si>
    <t>Event Equipment (Lab Coat)</t>
  </si>
  <si>
    <t>2 Hero Weapons</t>
  </si>
  <si>
    <t>Event Equipment (Molecularization)</t>
  </si>
  <si>
    <t>52 Currency</t>
  </si>
  <si>
    <t>32 Currency</t>
  </si>
  <si>
    <t>4 Crafting Shards</t>
  </si>
  <si>
    <t>12 Raid Cards</t>
  </si>
  <si>
    <t>Event Equipment (Master of Elements)</t>
  </si>
  <si>
    <t>10 Raid Cards</t>
  </si>
  <si>
    <t>3 Rare Equipment</t>
  </si>
  <si>
    <t>38 Currency</t>
  </si>
  <si>
    <t>6 Eggs</t>
  </si>
  <si>
    <t>Legendary Equipment (Granite Mail)</t>
  </si>
  <si>
    <t>20 Raid Cards</t>
  </si>
  <si>
    <t>60 Currency</t>
  </si>
  <si>
    <t>9 Crafting Shards</t>
  </si>
  <si>
    <t>66 Currency</t>
  </si>
  <si>
    <t>80 Currency</t>
  </si>
  <si>
    <t>13 Eggs</t>
  </si>
  <si>
    <t>3 Skill Points</t>
  </si>
  <si>
    <t>108 Currency</t>
  </si>
  <si>
    <t>2 Skill Points</t>
  </si>
  <si>
    <t>20 Currency</t>
  </si>
  <si>
    <t>16 Wildcards</t>
  </si>
  <si>
    <t>22 Raid Cards</t>
  </si>
  <si>
    <t>Legendary Equipment (Stone Hammer)</t>
  </si>
  <si>
    <t>Legendary Equipment (Gravel Explosion)</t>
  </si>
  <si>
    <t>4 Hero Weapons</t>
  </si>
  <si>
    <t>3 Perks</t>
  </si>
  <si>
    <t>26 Raid Cards</t>
  </si>
  <si>
    <t>Avatar + 108 Currency</t>
  </si>
  <si>
    <t>4 Skill Points</t>
  </si>
  <si>
    <t>116 Currency</t>
  </si>
  <si>
    <t>122 Currency</t>
  </si>
  <si>
    <t>136 Currency</t>
  </si>
  <si>
    <t>19 Crafting Shards</t>
  </si>
  <si>
    <t>8 Fortune Weapons</t>
  </si>
  <si>
    <t>164 Currency</t>
  </si>
  <si>
    <t>220 Currency</t>
  </si>
  <si>
    <t>1 Clan Scroll</t>
  </si>
  <si>
    <t>40 Raid Cards</t>
  </si>
  <si>
    <t>45 Raid Cards</t>
  </si>
  <si>
    <t>22 Eggs</t>
  </si>
  <si>
    <t>54 Raid Cards</t>
  </si>
  <si>
    <t>2 Fortune Scrolls</t>
  </si>
  <si>
    <t>11 Fortune Weapons</t>
  </si>
  <si>
    <t>12 Rare Equipment</t>
  </si>
  <si>
    <t>8 Hero Weapons</t>
  </si>
  <si>
    <t>41 Wildcards</t>
  </si>
  <si>
    <t>6 Skill Points</t>
  </si>
  <si>
    <t>232 Currency</t>
  </si>
  <si>
    <t>3 Clan Scrolls</t>
  </si>
  <si>
    <t>238 Currency</t>
  </si>
  <si>
    <t>79 Raid Cards</t>
  </si>
  <si>
    <t>252 Currency</t>
  </si>
  <si>
    <t>3 Fortune Scrolls</t>
  </si>
  <si>
    <t>280 Currency</t>
  </si>
  <si>
    <t>11 Skill Points</t>
  </si>
  <si>
    <t>84 Wildcards</t>
  </si>
  <si>
    <t>336 Currency</t>
  </si>
  <si>
    <t>1 Legendary Equipment</t>
  </si>
  <si>
    <t>Crystal</t>
  </si>
  <si>
    <t>Egg</t>
  </si>
  <si>
    <t>28 Currency</t>
  </si>
  <si>
    <t>9 Raid Cards</t>
  </si>
  <si>
    <t>28 Common Equipment</t>
  </si>
  <si>
    <t>14 Raid Cards</t>
  </si>
  <si>
    <t>44 Currency</t>
  </si>
  <si>
    <t>Legendary Equipment (Utility Belt)</t>
  </si>
  <si>
    <t>6 Crafting Shards</t>
  </si>
  <si>
    <t>8 Crafting Shards</t>
  </si>
  <si>
    <t>1 Fortune Scroll</t>
  </si>
  <si>
    <t>1 Skill Point</t>
  </si>
  <si>
    <t>7 Eggs</t>
  </si>
  <si>
    <t>10 Eggs</t>
  </si>
  <si>
    <t>76 Currency</t>
  </si>
  <si>
    <t>25 Raid Cards</t>
  </si>
  <si>
    <t>92 Currency</t>
  </si>
  <si>
    <t>124 Currency</t>
  </si>
  <si>
    <t>5 Hero Weapons</t>
  </si>
  <si>
    <t>19 Wildcards</t>
  </si>
  <si>
    <t>23 Wildcards</t>
  </si>
  <si>
    <t>31 Wildcards</t>
  </si>
  <si>
    <t>30 Raid Cards</t>
  </si>
  <si>
    <t>4 Fortune Weapons</t>
  </si>
  <si>
    <t>6 Fortune Weapons</t>
  </si>
  <si>
    <t>612 Currency</t>
  </si>
  <si>
    <t>8 Fortune Scrolls</t>
  </si>
  <si>
    <t>20 Skill Points</t>
  </si>
  <si>
    <t>220 Raid Cards</t>
  </si>
  <si>
    <t>652 Currency</t>
  </si>
  <si>
    <t>695 Currency</t>
  </si>
  <si>
    <t>722 Currency</t>
  </si>
  <si>
    <t>18 Common Equipment</t>
  </si>
  <si>
    <t>5 Eggs</t>
  </si>
  <si>
    <t>6 Pet Eggs</t>
  </si>
  <si>
    <t>32 Common Equipment</t>
  </si>
  <si>
    <t>5 Crafting Shards</t>
  </si>
  <si>
    <t>6 Rare Equipment</t>
  </si>
  <si>
    <t>13 Pet Eggs</t>
  </si>
  <si>
    <t>Legendary Equipment (Timeless Wraps)</t>
  </si>
  <si>
    <t>Legendary Equipment (Staff of Eternity)</t>
  </si>
  <si>
    <t>Legendary Equipment (Inner Peace)</t>
  </si>
  <si>
    <t>Legendary Equipment (Magister's Robes)</t>
  </si>
  <si>
    <t>7 Hero Weapons</t>
  </si>
  <si>
    <t>30 Wildcards</t>
  </si>
  <si>
    <t>34 Wildcards</t>
  </si>
  <si>
    <t>55 Wildcards</t>
  </si>
  <si>
    <t>23 Rare Equipment</t>
  </si>
  <si>
    <t>84 Raid Cards</t>
  </si>
  <si>
    <t>42 Eggs</t>
  </si>
  <si>
    <t>36 Crafting Shards</t>
  </si>
  <si>
    <t>93 Raid Cards</t>
  </si>
  <si>
    <t>16 Fortune Weapons</t>
  </si>
  <si>
    <t>4 Fortune Scrolls</t>
  </si>
  <si>
    <t>Unique Equipment (Drunken Hammer's Smash)</t>
  </si>
  <si>
    <t>24 Currency</t>
  </si>
  <si>
    <t>21 Currency</t>
  </si>
  <si>
    <t>19 Currency</t>
  </si>
  <si>
    <t>110 Dust</t>
  </si>
  <si>
    <t xml:space="preserve">x25 Common Equipment </t>
  </si>
  <si>
    <t xml:space="preserve">5 Shards </t>
  </si>
  <si>
    <t>3 Shards</t>
  </si>
  <si>
    <t>22 Currency</t>
  </si>
  <si>
    <t>45 Currency</t>
  </si>
  <si>
    <t>8 Pet Eggs</t>
  </si>
  <si>
    <t>322 Dust</t>
  </si>
  <si>
    <t>145 Dust</t>
  </si>
  <si>
    <t>6 Shards</t>
  </si>
  <si>
    <t>58 Currency</t>
  </si>
  <si>
    <t>55 Currency</t>
  </si>
  <si>
    <t>9 Shards</t>
  </si>
  <si>
    <t>71 Currency</t>
  </si>
  <si>
    <t>68 Currency</t>
  </si>
  <si>
    <t>104 Currency</t>
  </si>
  <si>
    <t>46 Currency</t>
  </si>
  <si>
    <t>49 Currency</t>
  </si>
  <si>
    <t>3 Hero Weapons</t>
  </si>
  <si>
    <t>10 Pet Eggs</t>
  </si>
  <si>
    <t>376 Dust</t>
  </si>
  <si>
    <t>31 Raid Cards</t>
  </si>
  <si>
    <t>Leg. Equipment (Amazonian Royalty)</t>
  </si>
  <si>
    <t>89 Currency</t>
  </si>
  <si>
    <t>9 Rare Equipment</t>
  </si>
  <si>
    <t>99 Currency</t>
  </si>
  <si>
    <t>15 Shards</t>
  </si>
  <si>
    <t>102 Currency</t>
  </si>
  <si>
    <t>97 Currency + Avatar</t>
  </si>
  <si>
    <t>129 Currency</t>
  </si>
  <si>
    <t>172 Currency</t>
  </si>
  <si>
    <t>597 Dust</t>
  </si>
  <si>
    <t>125 Currency</t>
  </si>
  <si>
    <t>613 Dust</t>
  </si>
  <si>
    <t>661 Dust</t>
  </si>
  <si>
    <t>22 Pet Eggs</t>
  </si>
  <si>
    <t>727 Dust</t>
  </si>
  <si>
    <t>696 Dust</t>
  </si>
  <si>
    <t>55 Raid Cards</t>
  </si>
  <si>
    <t>998 Dust</t>
  </si>
  <si>
    <t>226 Currency</t>
  </si>
  <si>
    <t>36 Wildcards</t>
  </si>
  <si>
    <t>37 Wildcards</t>
  </si>
  <si>
    <t>10 Perks</t>
  </si>
  <si>
    <t>23 Shards</t>
  </si>
  <si>
    <t>157 Currency</t>
  </si>
  <si>
    <t>173 Currency</t>
  </si>
  <si>
    <t>7 Skill Points</t>
  </si>
  <si>
    <t>193 Currency</t>
  </si>
  <si>
    <t>Leg. Equipment (Gunpowder Sparks)</t>
  </si>
  <si>
    <t>227 Currency</t>
  </si>
  <si>
    <t>13 Fortune Weapons</t>
  </si>
  <si>
    <t>282 Currency</t>
  </si>
  <si>
    <t>177 Currency</t>
  </si>
  <si>
    <t>29 Pet Eggs</t>
  </si>
  <si>
    <t>48 Wildcards</t>
  </si>
  <si>
    <t>184 Currency</t>
  </si>
  <si>
    <t>70 Raid Cards</t>
  </si>
  <si>
    <t>50 Wildcards</t>
  </si>
  <si>
    <t>1222 Dust</t>
  </si>
  <si>
    <t>271 Currency</t>
  </si>
  <si>
    <t>316 Currency</t>
  </si>
  <si>
    <t>306 Currency</t>
  </si>
  <si>
    <t>309 Currency</t>
  </si>
  <si>
    <t>79 Wildcards</t>
  </si>
  <si>
    <t>Legendary (The Titan Killer)</t>
  </si>
  <si>
    <t>46 Shards</t>
  </si>
  <si>
    <t>319 Currency</t>
  </si>
  <si>
    <t>112 Raid Cards</t>
  </si>
  <si>
    <t>13 Skill Points</t>
  </si>
  <si>
    <t>355 Currency</t>
  </si>
  <si>
    <t>Legendary (Mad Cap Goggles)</t>
  </si>
  <si>
    <t>389 Currency</t>
  </si>
  <si>
    <t>21 Fortune Weapons</t>
  </si>
  <si>
    <t>444 Currency</t>
  </si>
  <si>
    <t>115 Wildcards</t>
  </si>
  <si>
    <t>621 Currency</t>
  </si>
  <si>
    <t>618 Currency</t>
  </si>
  <si>
    <t>104 Pet Eggs</t>
  </si>
  <si>
    <t>3206 Dust</t>
  </si>
  <si>
    <t>30 Skill Points</t>
  </si>
  <si>
    <t>1 Unique Equipment (Helm)</t>
  </si>
  <si>
    <t>228 Wildcards</t>
  </si>
  <si>
    <t>15 Fortune Scrolls</t>
  </si>
  <si>
    <t>5.29 Alchemy Recipe Book</t>
  </si>
  <si>
    <t>Event Equipment (Sword)</t>
  </si>
  <si>
    <t>2 Pet Eggs</t>
  </si>
  <si>
    <t>21 Common Equipment</t>
  </si>
  <si>
    <t>7 Crafting Shards</t>
  </si>
  <si>
    <t>206 Dust</t>
  </si>
  <si>
    <t>x8 Rare Equipment</t>
  </si>
  <si>
    <t>62 Currency</t>
  </si>
  <si>
    <t>8 Rare Equipment</t>
  </si>
  <si>
    <t>126 Currency</t>
  </si>
  <si>
    <t>112 Currency</t>
  </si>
  <si>
    <t>Event Equipment
(Hat)</t>
  </si>
  <si>
    <t>84 Currency</t>
  </si>
  <si>
    <t>65 Currency</t>
  </si>
  <si>
    <t>436 Dust</t>
  </si>
  <si>
    <t>Legendary Equipment (Wreathed Curls)</t>
  </si>
  <si>
    <t>1 Hero Scroll</t>
  </si>
  <si>
    <t>x1 Skill Point</t>
  </si>
  <si>
    <t>253 Dust</t>
  </si>
  <si>
    <t>x15 Pet Eggs</t>
  </si>
  <si>
    <t>64 Currency</t>
  </si>
  <si>
    <t>11 Pet Eggs</t>
  </si>
  <si>
    <t>33 Wildcards</t>
  </si>
  <si>
    <t>Legendary Equipment (Crackling Sweep)</t>
  </si>
  <si>
    <t>21 Raid Cards</t>
  </si>
  <si>
    <t>63 Currency</t>
  </si>
  <si>
    <t>6 Perks</t>
  </si>
  <si>
    <t>5 Perks</t>
  </si>
  <si>
    <t>530 Dust</t>
  </si>
  <si>
    <t xml:space="preserve">84 Currency </t>
  </si>
  <si>
    <t>9 Perks</t>
  </si>
  <si>
    <t>Legendary Equipment (Cinder Grasper)</t>
  </si>
  <si>
    <t>x3 Skill Points</t>
  </si>
  <si>
    <t>57 Currency</t>
  </si>
  <si>
    <t>96 Currency</t>
  </si>
  <si>
    <t>70 Currency</t>
  </si>
  <si>
    <t>499 Dust</t>
  </si>
  <si>
    <t>141 Currency</t>
  </si>
  <si>
    <t>128 Currency</t>
  </si>
  <si>
    <t>2 Hero Scrolls</t>
  </si>
  <si>
    <t>29 Raid Cards</t>
  </si>
  <si>
    <t>446 Dust</t>
  </si>
  <si>
    <t>18 Crafting Shards</t>
  </si>
  <si>
    <t>14 Crafting Shards</t>
  </si>
  <si>
    <t>16 Crafting Shards</t>
  </si>
  <si>
    <t>25 Crafting Shards</t>
  </si>
  <si>
    <t>160 Currency</t>
  </si>
  <si>
    <t>Event Avatar + 97 Currency</t>
  </si>
  <si>
    <t>119 Currency</t>
  </si>
  <si>
    <t>40 Wildcards</t>
  </si>
  <si>
    <t>49 Raid Cards</t>
  </si>
  <si>
    <t>161 Currency</t>
  </si>
  <si>
    <t>90 Currency</t>
  </si>
  <si>
    <t>488 Dust</t>
  </si>
  <si>
    <t>596 Dust</t>
  </si>
  <si>
    <t>97 Currency</t>
  </si>
  <si>
    <t>147 Currency</t>
  </si>
  <si>
    <t>156 Currency</t>
  </si>
  <si>
    <t>x6 Fortune Weapons</t>
  </si>
  <si>
    <t>137 Currency</t>
  </si>
  <si>
    <t>159 Currency</t>
  </si>
  <si>
    <t>Legendary Equipment (Blackened Visor)</t>
  </si>
  <si>
    <t>201 Currency</t>
  </si>
  <si>
    <t>5 Fortune Weapons</t>
  </si>
  <si>
    <t>133 Currency</t>
  </si>
  <si>
    <t>111 Currency</t>
  </si>
  <si>
    <t>43 Wildcards</t>
  </si>
  <si>
    <t>175 Currency</t>
  </si>
  <si>
    <t xml:space="preserve">Event Avatar + 97 Currency </t>
  </si>
  <si>
    <t>118 Currency</t>
  </si>
  <si>
    <t>702 Dust</t>
  </si>
  <si>
    <t>45 Wildcards</t>
  </si>
  <si>
    <t>168 Currency</t>
  </si>
  <si>
    <t>162 Currency</t>
  </si>
  <si>
    <t>204 Currency</t>
  </si>
  <si>
    <t>190 Currency</t>
  </si>
  <si>
    <t>1020 Dust</t>
  </si>
  <si>
    <t>182 Currency</t>
  </si>
  <si>
    <t>246 Currency</t>
  </si>
  <si>
    <t>Mythic Equipment (Divine Cleave)</t>
  </si>
  <si>
    <t>218 Currency</t>
  </si>
  <si>
    <t>160 Dust</t>
  </si>
  <si>
    <t>193 Dust</t>
  </si>
  <si>
    <t>5 Pet Eggs</t>
  </si>
  <si>
    <t>300 Dust</t>
  </si>
  <si>
    <t>333 Dust</t>
  </si>
  <si>
    <t>400 Dust</t>
  </si>
  <si>
    <t>Legendary Equipment (Bazooka)</t>
  </si>
  <si>
    <t>Legendary Equipment (Crazed Bombardment)</t>
  </si>
  <si>
    <t>Legendary Equipment (Doctor's Cloak)</t>
  </si>
  <si>
    <t>680 Dust</t>
  </si>
  <si>
    <t>820 Dust</t>
  </si>
  <si>
    <t>30 Wild Cards</t>
  </si>
  <si>
    <t>Event Avatar</t>
  </si>
  <si>
    <t>123 Currency</t>
  </si>
  <si>
    <t>1260 Dust</t>
  </si>
  <si>
    <t>42 Pet Eggs</t>
  </si>
  <si>
    <t>1400 Dust</t>
  </si>
  <si>
    <t>84 Wild Cards</t>
  </si>
  <si>
    <t>Unique Equipment (Rosabelle's Uniform)</t>
  </si>
  <si>
    <t>140 Dust</t>
  </si>
  <si>
    <t>220 Dust</t>
  </si>
  <si>
    <t>Legendary Equipment (Battle Skirt)</t>
  </si>
  <si>
    <t>Legendary Equipment (Shooting Star)</t>
  </si>
  <si>
    <t>Unique Equipment (Maple Brush)</t>
  </si>
  <si>
    <t>8 Shards</t>
  </si>
  <si>
    <t>Avatar</t>
  </si>
  <si>
    <t>7 Pet Eggs</t>
  </si>
  <si>
    <t>Legendary Equipment (Amazonian Royalty)</t>
  </si>
  <si>
    <t>4 Perks</t>
  </si>
  <si>
    <t>23 Wild Cards</t>
  </si>
  <si>
    <t>380 Dust</t>
  </si>
  <si>
    <t>460 Dust</t>
  </si>
  <si>
    <t>13 Shards</t>
  </si>
  <si>
    <t>15 Pet Eggs</t>
  </si>
  <si>
    <t>7 Rare Equipment</t>
  </si>
  <si>
    <t>6 Fortune Weapon</t>
  </si>
  <si>
    <t>Event Equipment (Aura)</t>
  </si>
  <si>
    <t>Recipe Directory (hyperlinks)</t>
  </si>
  <si>
    <t>Ingredient Recipes</t>
  </si>
  <si>
    <t>+</t>
  </si>
  <si>
    <t>=</t>
  </si>
  <si>
    <t>10 Rare Equipment</t>
  </si>
  <si>
    <t>42 Currency</t>
  </si>
  <si>
    <t>Ingredient</t>
  </si>
  <si>
    <t>URL</t>
  </si>
  <si>
    <t>Icon</t>
  </si>
  <si>
    <t>https://i.imgur.com/CGUuB2u.png</t>
  </si>
  <si>
    <t>https://i.imgur.com/FOQ1xFS.png</t>
  </si>
  <si>
    <t>https://i.imgur.com/u6EWIJo.png</t>
  </si>
  <si>
    <t>https://i.imgur.com/FvsyopO.png</t>
  </si>
  <si>
    <t>https://i.imgur.com/AipJ3Yt.png</t>
  </si>
  <si>
    <t>https://i.imgur.com/bdFdyx0.png</t>
  </si>
  <si>
    <t>https://i.imgur.com/4jZrlLN.png</t>
  </si>
  <si>
    <t>https://i.imgur.com/qJNRGqq.png</t>
  </si>
  <si>
    <t>https://i.imgur.com/Wb606H3.png</t>
  </si>
  <si>
    <t>https://i.imgur.com/nfZPsNs.png</t>
  </si>
  <si>
    <t>https://i.imgur.com/Q15uLvW.png</t>
  </si>
  <si>
    <t>https://i.imgur.com/Z6cupwx.png</t>
  </si>
  <si>
    <t>https://i.imgur.com/oVOhOh6.png</t>
  </si>
  <si>
    <t>https://i.imgur.com/kcLJ0Nh.png</t>
  </si>
  <si>
    <t>https://i.imgur.com/gtiQgMt.png</t>
  </si>
  <si>
    <t>https://i.imgur.com/OCp0DoE.png</t>
  </si>
  <si>
    <t>https://i.imgur.com/KJvnNaG.png</t>
  </si>
  <si>
    <t>https://i.imgur.com/dWg2BnN.png</t>
  </si>
  <si>
    <t>https://i.imgur.com/AOswOIi.png</t>
  </si>
  <si>
    <t>https://i.imgur.com/JeqRY8x.png</t>
  </si>
  <si>
    <t>https://i.imgur.com/lGZtYOj.png</t>
  </si>
  <si>
    <t>https://i.imgur.com/nHb35IP.png</t>
  </si>
  <si>
    <t>10 Currency</t>
  </si>
  <si>
    <t>16 Raid Card Fragments</t>
  </si>
  <si>
    <t>26 Currency</t>
  </si>
  <si>
    <t>430 Dust</t>
  </si>
  <si>
    <t>47 Wildcards</t>
  </si>
  <si>
    <t>4 Pet Eggs</t>
  </si>
  <si>
    <t>4 Shards</t>
  </si>
  <si>
    <t>43 Currency</t>
  </si>
  <si>
    <t>82 Currency</t>
  </si>
  <si>
    <t>Event Equipment (Mad Scientist Sword)</t>
  </si>
  <si>
    <t>19 Raid cards</t>
  </si>
  <si>
    <t>54 Currency</t>
  </si>
  <si>
    <t>87 Currency</t>
  </si>
  <si>
    <t>49 Wildcards</t>
  </si>
  <si>
    <t>105 Currency</t>
  </si>
  <si>
    <t>Event Equipment
(Mask of Madness)</t>
  </si>
  <si>
    <t>Event Equipment
(Molecularization)</t>
  </si>
  <si>
    <t>95 Currency</t>
  </si>
  <si>
    <t>100 Currency</t>
  </si>
  <si>
    <t>52 Wildcards</t>
  </si>
  <si>
    <t>19 Raid Cards</t>
  </si>
  <si>
    <t>590 Dust</t>
  </si>
  <si>
    <t>40 Raid Card
Fragments</t>
  </si>
  <si>
    <t>980 Dust</t>
  </si>
  <si>
    <t>68 Raid Cards</t>
  </si>
  <si>
    <t>9 Pet Eggs</t>
  </si>
  <si>
    <t>16 Pets</t>
  </si>
  <si>
    <t>2 Fortune Weapons</t>
  </si>
  <si>
    <t>18 Pet Eggs</t>
  </si>
  <si>
    <t>19 Pet Eggs</t>
  </si>
  <si>
    <t>Avatar
(110 Currency)</t>
  </si>
  <si>
    <t>14 Shards</t>
  </si>
  <si>
    <t>16 Shards</t>
  </si>
  <si>
    <t>115 Currency</t>
  </si>
  <si>
    <t>1170 Dust</t>
  </si>
  <si>
    <t>1270 Dust</t>
  </si>
  <si>
    <t>88 Currency</t>
  </si>
  <si>
    <t>1210 Dust</t>
  </si>
  <si>
    <t>Legendary Equipment
(Toga Storm)</t>
  </si>
  <si>
    <t>Legendary Equipment</t>
  </si>
  <si>
    <t>66 Wildcards</t>
  </si>
  <si>
    <t>Legendary Piece (Head in the Clouds)</t>
  </si>
  <si>
    <t>154 Currency</t>
  </si>
  <si>
    <t>1560 Dust</t>
  </si>
  <si>
    <t>1660 Dust</t>
  </si>
  <si>
    <t>158 Currency</t>
  </si>
  <si>
    <t>3 Fortune Weapons</t>
  </si>
  <si>
    <t>178 Currency</t>
  </si>
  <si>
    <t>Mythic Piece
(Wings of Icarus)</t>
  </si>
  <si>
    <t>Ingredients</t>
  </si>
  <si>
    <t>Row</t>
  </si>
  <si>
    <t>Icons</t>
  </si>
  <si>
    <t>5.24 Alchemy Recipe Book</t>
  </si>
  <si>
    <t>Leaf Recipes</t>
  </si>
  <si>
    <t>Back to Top</t>
  </si>
  <si>
    <t>Sand Recipes</t>
  </si>
  <si>
    <t>Water Recipes</t>
  </si>
  <si>
    <t>Lightning Recipes</t>
  </si>
  <si>
    <t>Poison Recipes</t>
  </si>
  <si>
    <t>Beetle Recipes</t>
  </si>
  <si>
    <t>Tooth Recipes</t>
  </si>
  <si>
    <t>Flame Recipes</t>
  </si>
  <si>
    <t>Steel Recipes</t>
  </si>
  <si>
    <t>Scale Recipes</t>
  </si>
  <si>
    <t>Essence Recipes</t>
  </si>
  <si>
    <t>Power Recipes</t>
  </si>
  <si>
    <t>Shadow Recipes</t>
  </si>
  <si>
    <t>Spirit Recipes</t>
  </si>
  <si>
    <t>6 Currency</t>
  </si>
  <si>
    <t>15 Currency</t>
  </si>
  <si>
    <t>25 Common Equipment</t>
  </si>
  <si>
    <t>31 Currency</t>
  </si>
  <si>
    <t>Event Equipment
(Hair of Madness)</t>
  </si>
  <si>
    <t>3 Crafting Shards</t>
  </si>
  <si>
    <t>13 Raid Cards</t>
  </si>
  <si>
    <t>51 Currency</t>
  </si>
  <si>
    <t>Event Currency
(Lab Coat)</t>
  </si>
  <si>
    <t>Legendary Equipment (Riftstone Strike)</t>
  </si>
  <si>
    <t>15 Crafting Shards</t>
  </si>
  <si>
    <t>46 Raid Cards</t>
  </si>
  <si>
    <t>17 Crafting Shards</t>
  </si>
  <si>
    <t>44 Raid Cards</t>
  </si>
  <si>
    <t>9 Hero Weapons</t>
  </si>
  <si>
    <t>23 Crafting Shards</t>
  </si>
  <si>
    <t>Legendery Equipment
(Granite Maul)</t>
  </si>
  <si>
    <t>46 Crafting Shards</t>
  </si>
  <si>
    <t>111 Raid Cards</t>
  </si>
  <si>
    <t>335 Currency</t>
  </si>
  <si>
    <t>Legendary Equipment (Granite Plate)</t>
  </si>
  <si>
    <t>Legendary Equipment (Granite Full Helm)</t>
  </si>
  <si>
    <t>115 Wild Cards</t>
  </si>
  <si>
    <t>606 Currency</t>
  </si>
  <si>
    <t>Unique Equipment (Sophia's Faith)</t>
  </si>
  <si>
    <t>Old</t>
  </si>
  <si>
    <t>New</t>
  </si>
  <si>
    <t>Perk</t>
  </si>
  <si>
    <t>Perks</t>
  </si>
  <si>
    <t>Skill Point</t>
  </si>
  <si>
    <t>Skill Points</t>
  </si>
  <si>
    <t>Substituted</t>
  </si>
  <si>
    <t xml:space="preserve"> </t>
  </si>
  <si>
    <t>chec</t>
  </si>
  <si>
    <t>Event Equipment</t>
  </si>
  <si>
    <t>1 Pet Egg</t>
  </si>
  <si>
    <t>222 Currency</t>
  </si>
  <si>
    <t>3 Pet Eggs</t>
  </si>
  <si>
    <t>116 currency</t>
  </si>
  <si>
    <t>22 Raid cards</t>
  </si>
  <si>
    <t>39 Pet Eggs</t>
  </si>
  <si>
    <t>Legendary Equip (Shadowgold Armor)</t>
  </si>
  <si>
    <t>Legendary Equipment (Shadowgold Goblet)</t>
  </si>
  <si>
    <t>11 Crafting Shards</t>
  </si>
  <si>
    <t>Legendary Equipment (Shackles of Greed)</t>
  </si>
  <si>
    <t>6 Skill Point</t>
  </si>
  <si>
    <t>1 Legendary Insult</t>
  </si>
  <si>
    <t xml:space="preserve">Event Equipment </t>
  </si>
  <si>
    <t>Raid Cards</t>
  </si>
  <si>
    <t>Pet Eggs</t>
  </si>
  <si>
    <t>Currency</t>
  </si>
  <si>
    <t>Crafting Shards</t>
  </si>
  <si>
    <t>Clan Scrolls</t>
  </si>
  <si>
    <t>Clan Scroll</t>
  </si>
  <si>
    <t>Hero Weapons</t>
  </si>
  <si>
    <t>Fortune Weapons</t>
  </si>
  <si>
    <t>Fortune Scrolls</t>
  </si>
  <si>
    <t>Pet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</si>
</sst>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color rgb="FF000000"/>
      <name val="Arial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sz val="14"/>
      <color rgb="FF666666"/>
      <name val="Arial"/>
      <family val="2"/>
      <scheme val="minor"/>
    </font>
    <font>
      <sz val="11"/>
      <color rgb="FF000000"/>
      <name val="Arial"/>
      <family val="2"/>
      <scheme val="minor"/>
    </font>
    <font>
      <sz val="14"/>
      <color rgb="FFF3F3F3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9"/>
      <color rgb="FF7E3794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&quot;Google Sans Mono&quot;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&quot;Arial&quot;"/>
    </font>
    <font>
      <sz val="12"/>
      <color rgb="FF666666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rgb="FFFFFF00"/>
      <name val="Arial"/>
      <family val="2"/>
      <scheme val="minor"/>
    </font>
    <font>
      <b/>
      <sz val="20"/>
      <color rgb="FFFFFF00"/>
      <name val="Arial"/>
      <family val="2"/>
      <scheme val="minor"/>
    </font>
    <font>
      <u/>
      <sz val="12"/>
      <color rgb="FF000000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u/>
      <sz val="12"/>
      <color rgb="FF000000"/>
      <name val="Arial"/>
      <family val="2"/>
    </font>
    <font>
      <b/>
      <sz val="14"/>
      <color rgb="FFFFFF00"/>
      <name val="Arial"/>
      <family val="2"/>
      <scheme val="minor"/>
    </font>
    <font>
      <u/>
      <sz val="12"/>
      <color rgb="FF0000FF"/>
      <name val="Arial"/>
      <family val="2"/>
    </font>
    <font>
      <sz val="11"/>
      <color rgb="FFF7981D"/>
      <name val="Arial"/>
      <family val="2"/>
      <scheme val="minor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4" borderId="1" xfId="0" quotePrefix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3" borderId="0" xfId="0" applyFont="1" applyFill="1"/>
    <xf numFmtId="0" fontId="11" fillId="3" borderId="0" xfId="0" applyFont="1" applyFill="1" applyAlignment="1">
      <alignment horizontal="center" vertical="center"/>
    </xf>
    <xf numFmtId="0" fontId="17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7" xfId="0" applyFont="1" applyBorder="1"/>
    <xf numFmtId="0" fontId="7" fillId="0" borderId="5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20" fillId="2" borderId="10" xfId="0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20" fillId="2" borderId="10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0" fillId="0" borderId="0" xfId="0"/>
    <xf numFmtId="0" fontId="23" fillId="2" borderId="10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wrapText="1"/>
    </xf>
    <xf numFmtId="0" fontId="31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5" fillId="8" borderId="1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solid">
          <fgColor rgb="FF274E13"/>
          <bgColor rgb="FF274E13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2B280"/>
          <bgColor rgb="FFC2B28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2B280"/>
          <bgColor rgb="FFC2B28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2B280"/>
          <bgColor rgb="FFC2B280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qJNRGqq.png" TargetMode="External"/><Relationship Id="rId13" Type="http://schemas.openxmlformats.org/officeDocument/2006/relationships/hyperlink" Target="https://i.imgur.com/oVOhOh6.png" TargetMode="External"/><Relationship Id="rId18" Type="http://schemas.openxmlformats.org/officeDocument/2006/relationships/hyperlink" Target="https://i.imgur.com/dWg2BnN.png" TargetMode="External"/><Relationship Id="rId3" Type="http://schemas.openxmlformats.org/officeDocument/2006/relationships/hyperlink" Target="https://i.imgur.com/u6EWIJo.png" TargetMode="External"/><Relationship Id="rId21" Type="http://schemas.openxmlformats.org/officeDocument/2006/relationships/hyperlink" Target="https://i.imgur.com/lGZtYOj.png" TargetMode="External"/><Relationship Id="rId7" Type="http://schemas.openxmlformats.org/officeDocument/2006/relationships/hyperlink" Target="https://i.imgur.com/4jZrlLN.png" TargetMode="External"/><Relationship Id="rId12" Type="http://schemas.openxmlformats.org/officeDocument/2006/relationships/hyperlink" Target="https://i.imgur.com/Z6cupwx.png" TargetMode="External"/><Relationship Id="rId17" Type="http://schemas.openxmlformats.org/officeDocument/2006/relationships/hyperlink" Target="https://i.imgur.com/KJvnNaG.png" TargetMode="External"/><Relationship Id="rId2" Type="http://schemas.openxmlformats.org/officeDocument/2006/relationships/hyperlink" Target="https://i.imgur.com/FOQ1xFS.png" TargetMode="External"/><Relationship Id="rId16" Type="http://schemas.openxmlformats.org/officeDocument/2006/relationships/hyperlink" Target="https://i.imgur.com/OCp0DoE.png" TargetMode="External"/><Relationship Id="rId20" Type="http://schemas.openxmlformats.org/officeDocument/2006/relationships/hyperlink" Target="https://i.imgur.com/JeqRY8x.png" TargetMode="External"/><Relationship Id="rId1" Type="http://schemas.openxmlformats.org/officeDocument/2006/relationships/hyperlink" Target="https://i.imgur.com/CGUuB2u.png" TargetMode="External"/><Relationship Id="rId6" Type="http://schemas.openxmlformats.org/officeDocument/2006/relationships/hyperlink" Target="https://i.imgur.com/bdFdyx0.png" TargetMode="External"/><Relationship Id="rId11" Type="http://schemas.openxmlformats.org/officeDocument/2006/relationships/hyperlink" Target="https://i.imgur.com/Q15uLvW.png" TargetMode="External"/><Relationship Id="rId5" Type="http://schemas.openxmlformats.org/officeDocument/2006/relationships/hyperlink" Target="https://i.imgur.com/AipJ3Yt.png" TargetMode="External"/><Relationship Id="rId15" Type="http://schemas.openxmlformats.org/officeDocument/2006/relationships/hyperlink" Target="https://i.imgur.com/gtiQgMt.png" TargetMode="External"/><Relationship Id="rId10" Type="http://schemas.openxmlformats.org/officeDocument/2006/relationships/hyperlink" Target="https://i.imgur.com/nfZPsNs.png" TargetMode="External"/><Relationship Id="rId19" Type="http://schemas.openxmlformats.org/officeDocument/2006/relationships/hyperlink" Target="https://i.imgur.com/AOswOIi.png" TargetMode="External"/><Relationship Id="rId4" Type="http://schemas.openxmlformats.org/officeDocument/2006/relationships/hyperlink" Target="https://i.imgur.com/FvsyopO.png" TargetMode="External"/><Relationship Id="rId9" Type="http://schemas.openxmlformats.org/officeDocument/2006/relationships/hyperlink" Target="https://i.imgur.com/Wb606H3.png" TargetMode="External"/><Relationship Id="rId14" Type="http://schemas.openxmlformats.org/officeDocument/2006/relationships/hyperlink" Target="https://i.imgur.com/kcLJ0Nh.png" TargetMode="External"/><Relationship Id="rId22" Type="http://schemas.openxmlformats.org/officeDocument/2006/relationships/hyperlink" Target="https://i.imgur.com/nHb35IP.png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qJNRGqq.png" TargetMode="External"/><Relationship Id="rId13" Type="http://schemas.openxmlformats.org/officeDocument/2006/relationships/hyperlink" Target="https://i.imgur.com/oVOhOh6.png" TargetMode="External"/><Relationship Id="rId3" Type="http://schemas.openxmlformats.org/officeDocument/2006/relationships/hyperlink" Target="https://i.imgur.com/u6EWIJo.png" TargetMode="External"/><Relationship Id="rId7" Type="http://schemas.openxmlformats.org/officeDocument/2006/relationships/hyperlink" Target="https://i.imgur.com/4jZrlLN.png" TargetMode="External"/><Relationship Id="rId12" Type="http://schemas.openxmlformats.org/officeDocument/2006/relationships/hyperlink" Target="https://i.imgur.com/Z6cupwx.png" TargetMode="External"/><Relationship Id="rId2" Type="http://schemas.openxmlformats.org/officeDocument/2006/relationships/hyperlink" Target="https://i.imgur.com/FOQ1xFS.png" TargetMode="External"/><Relationship Id="rId1" Type="http://schemas.openxmlformats.org/officeDocument/2006/relationships/hyperlink" Target="https://i.imgur.com/CGUuB2u.png" TargetMode="External"/><Relationship Id="rId6" Type="http://schemas.openxmlformats.org/officeDocument/2006/relationships/hyperlink" Target="https://i.imgur.com/bdFdyx0.png" TargetMode="External"/><Relationship Id="rId11" Type="http://schemas.openxmlformats.org/officeDocument/2006/relationships/hyperlink" Target="https://i.imgur.com/Q15uLvW.png" TargetMode="External"/><Relationship Id="rId5" Type="http://schemas.openxmlformats.org/officeDocument/2006/relationships/hyperlink" Target="https://i.imgur.com/AipJ3Yt.png" TargetMode="External"/><Relationship Id="rId10" Type="http://schemas.openxmlformats.org/officeDocument/2006/relationships/hyperlink" Target="https://i.imgur.com/nfZPsNs.png" TargetMode="External"/><Relationship Id="rId4" Type="http://schemas.openxmlformats.org/officeDocument/2006/relationships/hyperlink" Target="https://i.imgur.com/FvsyopO.png" TargetMode="External"/><Relationship Id="rId9" Type="http://schemas.openxmlformats.org/officeDocument/2006/relationships/hyperlink" Target="https://i.imgur.com/Wb606H3.png" TargetMode="External"/><Relationship Id="rId14" Type="http://schemas.openxmlformats.org/officeDocument/2006/relationships/hyperlink" Target="https://i.imgur.com/kcLJ0N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Pepper</v>
      </c>
      <c r="D3" s="7" t="str">
        <v>Berries</v>
      </c>
      <c r="E3" s="7" t="str">
        <v>Mushroom</v>
      </c>
      <c r="F3" s="8" t="str">
        <v>Sand</v>
      </c>
      <c r="G3" s="8" t="str">
        <v>Petal</v>
      </c>
      <c r="H3" s="7" t="str">
        <v>Acorn</v>
      </c>
      <c r="I3" s="7" t="str">
        <v>Feather</v>
      </c>
      <c r="J3" s="7" t="str">
        <v>Shadow</v>
      </c>
      <c r="K3" s="7" t="str">
        <v>Spirit</v>
      </c>
      <c r="L3" s="7" t="str">
        <v>Essence</v>
      </c>
      <c r="M3" s="7" t="str">
        <v>Power</v>
      </c>
      <c r="N3" s="8" t="str">
        <v>Beetle</v>
      </c>
      <c r="O3" s="7" t="str">
        <v>Tooth</v>
      </c>
      <c r="P3" s="7" t="str">
        <v>Flame</v>
      </c>
      <c r="Q3" s="7" t="str">
        <v>Steel</v>
      </c>
      <c r="R3" s="7" t="str">
        <v>Scale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21</v>
      </c>
      <c r="B5" s="10" t="e">
        <f t="array" aca="1" ref="B5" ca="1">_xludf.XLOOKUP(A5,Images!$A:$A,Images!$C:$C,"")</f>
        <v>#NAME?</v>
      </c>
      <c r="C5" s="11" t="s">
        <v>22</v>
      </c>
      <c r="D5" s="12" t="e">
        <f t="shared" ref="D5:R5" ca="1" si="0">INDEX($C$5:$R$20, COLUMN()-2, ROW()-4)</f>
        <v>#NAME?</v>
      </c>
      <c r="E5" s="12" t="e">
        <f t="shared" ca="1" si="0"/>
        <v>#NAME?</v>
      </c>
      <c r="F5" s="12" t="e">
        <f t="shared" ca="1" si="0"/>
        <v>#NAME?</v>
      </c>
      <c r="G5" s="12" t="str">
        <f t="shared" si="0"/>
        <v>18 Currency</v>
      </c>
      <c r="H5" s="12" t="str">
        <f t="shared" si="0"/>
        <v>3 Eggs</v>
      </c>
      <c r="I5" s="12" t="str">
        <f t="shared" si="0"/>
        <v>15 Common Equipment</v>
      </c>
      <c r="J5" s="12" t="str">
        <f t="shared" si="0"/>
        <v>32 Currency</v>
      </c>
      <c r="K5" s="12" t="str">
        <f t="shared" si="0"/>
        <v>32 Currency</v>
      </c>
      <c r="L5" s="12" t="str">
        <f t="shared" si="0"/>
        <v>20 Raid Cards</v>
      </c>
      <c r="M5" s="12" t="str">
        <f t="shared" si="0"/>
        <v>2 Skill Points</v>
      </c>
      <c r="N5" s="12" t="str">
        <f t="shared" si="0"/>
        <v>4 Hero Weapons</v>
      </c>
      <c r="O5" s="12" t="str">
        <f t="shared" si="0"/>
        <v>116 Currency</v>
      </c>
      <c r="P5" s="12" t="str">
        <f t="shared" si="0"/>
        <v>1 Clan Scroll</v>
      </c>
      <c r="Q5" s="12" t="str">
        <f t="shared" si="0"/>
        <v>116 Currency</v>
      </c>
      <c r="R5" s="12" t="str">
        <f t="shared" si="0"/>
        <v>232 Currency</v>
      </c>
    </row>
    <row r="6" spans="1:18" ht="37.5" customHeight="1">
      <c r="A6" s="8" t="s">
        <v>16</v>
      </c>
      <c r="B6" s="10" t="e">
        <f t="array" aca="1" ref="B6" ca="1">_xludf.XLOOKUP(A6,Images!$A:$A,Images!$C:$C,"")</f>
        <v>#NAME?</v>
      </c>
      <c r="C6" s="13" t="e">
        <f t="array" aca="1" ref="C6" ca="1">_xludf.XLOOKUP("Sand",Images!$A:$A,Images!$C:$C,"")</f>
        <v>#NAME?</v>
      </c>
      <c r="D6" s="11" t="s">
        <v>23</v>
      </c>
      <c r="E6" s="12" t="e">
        <f t="shared" ref="E6:R6" ca="1" si="1">INDEX($C$5:$R$20, COLUMN()-2, ROW()-4)</f>
        <v>#NAME?</v>
      </c>
      <c r="F6" s="12" t="str">
        <f t="shared" si="1"/>
        <v>18 Currency</v>
      </c>
      <c r="G6" s="12" t="str">
        <f t="shared" si="1"/>
        <v>1 Perk</v>
      </c>
      <c r="H6" s="12" t="str">
        <f t="shared" si="1"/>
        <v>Event Equipment (Hair of Madness)</v>
      </c>
      <c r="I6" s="12" t="str">
        <f t="shared" si="1"/>
        <v>2 Perks</v>
      </c>
      <c r="J6" s="12" t="str">
        <f t="shared" si="1"/>
        <v>4 Crafting Shards</v>
      </c>
      <c r="K6" s="12" t="str">
        <f t="shared" si="1"/>
        <v>10 Raid Cards</v>
      </c>
      <c r="L6" s="12" t="str">
        <f t="shared" si="1"/>
        <v>60 Currency</v>
      </c>
      <c r="M6" s="12" t="str">
        <f t="shared" si="1"/>
        <v>20 Currency</v>
      </c>
      <c r="N6" s="12" t="str">
        <f t="shared" si="1"/>
        <v>3 Perks</v>
      </c>
      <c r="O6" s="12" t="str">
        <f t="shared" si="1"/>
        <v>116 Currency</v>
      </c>
      <c r="P6" s="12" t="str">
        <f t="shared" si="1"/>
        <v>116 Currency</v>
      </c>
      <c r="Q6" s="12" t="str">
        <f t="shared" si="1"/>
        <v>116 Currency</v>
      </c>
      <c r="R6" s="12" t="str">
        <f t="shared" si="1"/>
        <v>3 Clan Scrolls</v>
      </c>
    </row>
    <row r="7" spans="1:18" ht="37.5" customHeight="1">
      <c r="A7" s="8" t="s">
        <v>17</v>
      </c>
      <c r="B7" s="10" t="e">
        <f t="array" aca="1" ref="B7" ca="1">_xludf.XLOOKUP(A7,Images!$A:$A,Images!$C:$C,"")</f>
        <v>#NAME?</v>
      </c>
      <c r="C7" s="12" t="e">
        <f t="array" aca="1" ref="C7" ca="1">_xludf.XLOOKUP("Petal",Images!$A:$A,Images!$C:$C,"")</f>
        <v>#NAME?</v>
      </c>
      <c r="D7" s="13" t="e">
        <f t="array" aca="1" ref="D7" ca="1">_xludf.XLOOKUP("Acorn",Images!$A:$A,Images!$C:$C,"")</f>
        <v>#NAME?</v>
      </c>
      <c r="E7" s="11" t="s">
        <v>23</v>
      </c>
      <c r="F7" s="12" t="str">
        <f t="shared" ref="F7:R7" si="2">INDEX($C$5:$R$20, COLUMN()-2, ROW()-4)</f>
        <v>6 Raid Cards</v>
      </c>
      <c r="G7" s="12" t="str">
        <f t="shared" si="2"/>
        <v>1 Rare Equipment</v>
      </c>
      <c r="H7" s="12" t="str">
        <f t="shared" si="2"/>
        <v>3 Eggs</v>
      </c>
      <c r="I7" s="12" t="str">
        <f t="shared" si="2"/>
        <v>Event Equipment (Lab Coat)</v>
      </c>
      <c r="J7" s="12" t="str">
        <f t="shared" si="2"/>
        <v>4 Crafting Shards</v>
      </c>
      <c r="K7" s="12" t="str">
        <f t="shared" si="2"/>
        <v>10 Raid Cards</v>
      </c>
      <c r="L7" s="12" t="str">
        <f t="shared" si="2"/>
        <v>60 Currency</v>
      </c>
      <c r="M7" s="12" t="str">
        <f t="shared" si="2"/>
        <v>2 Skill Points</v>
      </c>
      <c r="N7" s="12" t="str">
        <f t="shared" si="2"/>
        <v>60 Currency</v>
      </c>
      <c r="O7" s="12" t="str">
        <f t="shared" si="2"/>
        <v>116 Currency</v>
      </c>
      <c r="P7" s="12" t="str">
        <f t="shared" si="2"/>
        <v>116 Currency</v>
      </c>
      <c r="Q7" s="12" t="str">
        <f t="shared" si="2"/>
        <v>116 Currency</v>
      </c>
      <c r="R7" s="12" t="str">
        <f t="shared" si="2"/>
        <v>232 Currency</v>
      </c>
    </row>
    <row r="8" spans="1:18" ht="37.5" customHeight="1">
      <c r="A8" s="8" t="s">
        <v>1</v>
      </c>
      <c r="B8" s="10" t="e">
        <f t="array" aca="1" ref="B8" ca="1">_xludf.XLOOKUP(A8,Images!$A:$A,Images!$C:$C,"")</f>
        <v>#NAME?</v>
      </c>
      <c r="C8" s="12" t="e">
        <f t="array" aca="1" ref="C8" ca="1">_xludf.XLOOKUP("Feather",Images!$A:$A,Images!$C:$C,"")</f>
        <v>#NAME?</v>
      </c>
      <c r="D8" s="12" t="s">
        <v>24</v>
      </c>
      <c r="E8" s="12" t="s">
        <v>25</v>
      </c>
      <c r="F8" s="11" t="s">
        <v>26</v>
      </c>
      <c r="G8" s="12" t="e">
        <f t="shared" ref="G8:R8" ca="1" si="3">INDEX($C$5:$R$20, COLUMN()-2, ROW()-4)</f>
        <v>#NAME?</v>
      </c>
      <c r="H8" s="12" t="str">
        <f t="shared" si="3"/>
        <v>25 Currency</v>
      </c>
      <c r="I8" s="12" t="str">
        <f t="shared" si="3"/>
        <v>2 Hero Weapons</v>
      </c>
      <c r="J8" s="12" t="str">
        <f t="shared" si="3"/>
        <v>12 Raid Cards</v>
      </c>
      <c r="K8" s="12" t="str">
        <f t="shared" si="3"/>
        <v>3 Rare Equipment</v>
      </c>
      <c r="L8" s="12" t="str">
        <f t="shared" si="3"/>
        <v>9 Crafting Shards</v>
      </c>
      <c r="M8" s="12" t="str">
        <f t="shared" si="3"/>
        <v>16 Wildcards</v>
      </c>
      <c r="N8" s="12" t="str">
        <f t="shared" si="3"/>
        <v>66 Currency</v>
      </c>
      <c r="O8" s="12" t="str">
        <f t="shared" si="3"/>
        <v>122 Currency</v>
      </c>
      <c r="P8" s="12" t="str">
        <f t="shared" si="3"/>
        <v>122 Currency</v>
      </c>
      <c r="Q8" s="12" t="str">
        <f t="shared" si="3"/>
        <v>12 Rare Equipment</v>
      </c>
      <c r="R8" s="12" t="str">
        <f t="shared" si="3"/>
        <v>3 Clan Scrolls</v>
      </c>
    </row>
    <row r="9" spans="1:18" ht="37.5" customHeight="1">
      <c r="A9" s="8" t="s">
        <v>18</v>
      </c>
      <c r="B9" s="10" t="e">
        <f t="array" aca="1" ref="B9" ca="1">_xludf.XLOOKUP(A9,Images!$A:$A,Images!$C:$C,"")</f>
        <v>#NAME?</v>
      </c>
      <c r="C9" s="12" t="s">
        <v>24</v>
      </c>
      <c r="D9" s="12" t="s">
        <v>27</v>
      </c>
      <c r="E9" s="12" t="s">
        <v>28</v>
      </c>
      <c r="F9" s="12" t="e">
        <f t="array" aca="1" ref="F9" ca="1">_xludf.XLOOKUP("Spirit",Images!$A:$A,Images!$C:$C,"")</f>
        <v>#NAME?</v>
      </c>
      <c r="G9" s="11" t="s">
        <v>29</v>
      </c>
      <c r="H9" s="12" t="e">
        <f t="shared" ref="H9:R9" ca="1" si="4">INDEX($C$5:$R$20, COLUMN()-2, ROW()-4)</f>
        <v>#NAME?</v>
      </c>
      <c r="I9" s="12" t="str">
        <f t="shared" si="4"/>
        <v>Event Equipment (Molecularization)</v>
      </c>
      <c r="J9" s="12" t="str">
        <f t="shared" si="4"/>
        <v>Event Equipment (Master of Elements)</v>
      </c>
      <c r="K9" s="12" t="str">
        <f t="shared" si="4"/>
        <v>38 Currency</v>
      </c>
      <c r="L9" s="12" t="str">
        <f t="shared" si="4"/>
        <v>66 Currency</v>
      </c>
      <c r="M9" s="12" t="str">
        <f t="shared" si="4"/>
        <v>2 Skill Points</v>
      </c>
      <c r="N9" s="12" t="str">
        <f t="shared" si="4"/>
        <v>22 Raid Cards</v>
      </c>
      <c r="O9" s="12" t="str">
        <f t="shared" si="4"/>
        <v>122 Currency</v>
      </c>
      <c r="P9" s="12" t="str">
        <f t="shared" si="4"/>
        <v>122 Currency</v>
      </c>
      <c r="Q9" s="12" t="str">
        <f t="shared" si="4"/>
        <v>8 Hero Weapons</v>
      </c>
      <c r="R9" s="12" t="str">
        <f t="shared" si="4"/>
        <v>238 Currency</v>
      </c>
    </row>
    <row r="10" spans="1:18" ht="37.5" customHeight="1">
      <c r="A10" s="8" t="s">
        <v>19</v>
      </c>
      <c r="B10" s="10" t="e">
        <f t="array" aca="1" ref="B10" ca="1">_xludf.XLOOKUP(A10,Images!$A:$A,Images!$C:$C,"")</f>
        <v>#NAME?</v>
      </c>
      <c r="C10" s="12" t="s">
        <v>30</v>
      </c>
      <c r="D10" s="12" t="s">
        <v>31</v>
      </c>
      <c r="E10" s="12" t="s">
        <v>30</v>
      </c>
      <c r="F10" s="13" t="s">
        <v>29</v>
      </c>
      <c r="G10" s="12" t="e">
        <f t="array" aca="1" ref="G10" ca="1">_xludf.XLOOKUP("Shadow",Images!$A:$A,Images!$C:$C,"")</f>
        <v>#NAME?</v>
      </c>
      <c r="H10" s="11" t="s">
        <v>29</v>
      </c>
      <c r="I10" s="12" t="e">
        <f t="shared" ref="I10:R10" ca="1" si="5">INDEX($C$5:$R$20, COLUMN()-2, ROW()-4)</f>
        <v>#NAME?</v>
      </c>
      <c r="J10" s="12" t="str">
        <f t="shared" si="5"/>
        <v>12 Raid Cards</v>
      </c>
      <c r="K10" s="12" t="str">
        <f t="shared" si="5"/>
        <v>6 Eggs</v>
      </c>
      <c r="L10" s="12" t="str">
        <f t="shared" si="5"/>
        <v>66 Currency</v>
      </c>
      <c r="M10" s="12" t="str">
        <f t="shared" si="5"/>
        <v>22 Raid Cards</v>
      </c>
      <c r="N10" s="12" t="str">
        <f t="shared" si="5"/>
        <v>66 Currency</v>
      </c>
      <c r="O10" s="12" t="str">
        <f t="shared" si="5"/>
        <v>122 Currency</v>
      </c>
      <c r="P10" s="12" t="str">
        <f t="shared" si="5"/>
        <v>40 Raid Cards</v>
      </c>
      <c r="Q10" s="12" t="str">
        <f t="shared" si="5"/>
        <v>122 Currency</v>
      </c>
      <c r="R10" s="12" t="str">
        <f t="shared" si="5"/>
        <v>79 Raid Cards</v>
      </c>
    </row>
    <row r="11" spans="1:18" ht="37.5" customHeight="1">
      <c r="A11" s="8" t="s">
        <v>20</v>
      </c>
      <c r="B11" s="10" t="e">
        <f t="array" aca="1" ref="B11" ca="1">_xludf.XLOOKUP(A11,Images!$A:$A,Images!$C:$C,"")</f>
        <v>#NAME?</v>
      </c>
      <c r="C11" s="12" t="s">
        <v>32</v>
      </c>
      <c r="D11" s="12" t="s">
        <v>33</v>
      </c>
      <c r="E11" s="12" t="s">
        <v>34</v>
      </c>
      <c r="F11" s="12" t="s">
        <v>35</v>
      </c>
      <c r="G11" s="12" t="s">
        <v>36</v>
      </c>
      <c r="H11" s="12" t="e">
        <f t="array" aca="1" ref="H11" ca="1">_xludf.XLOOKUP("Essence",Images!$A:$A,Images!$C:$C,"")</f>
        <v>#NAME?</v>
      </c>
      <c r="I11" s="11" t="s">
        <v>37</v>
      </c>
      <c r="J11" s="12" t="e">
        <f t="shared" ref="J11:R11" ca="1" si="6">INDEX($C$5:$R$20, COLUMN()-2, ROW()-4)</f>
        <v>#NAME?</v>
      </c>
      <c r="K11" s="12" t="str">
        <f t="shared" si="6"/>
        <v>Legendary Equipment (Granite Mail)</v>
      </c>
      <c r="L11" s="12" t="str">
        <f t="shared" si="6"/>
        <v>80 Currency</v>
      </c>
      <c r="M11" s="12" t="str">
        <f t="shared" si="6"/>
        <v>80 Currency</v>
      </c>
      <c r="N11" s="12" t="str">
        <f t="shared" si="6"/>
        <v>26 Raid Cards</v>
      </c>
      <c r="O11" s="12" t="str">
        <f t="shared" si="6"/>
        <v>136 Currency</v>
      </c>
      <c r="P11" s="12" t="str">
        <f t="shared" si="6"/>
        <v>45 Raid Cards</v>
      </c>
      <c r="Q11" s="12" t="str">
        <f t="shared" si="6"/>
        <v>45 Raid Cards</v>
      </c>
      <c r="R11" s="12" t="str">
        <f t="shared" si="6"/>
        <v>252 Currency</v>
      </c>
    </row>
    <row r="12" spans="1:18" ht="37.5" customHeight="1">
      <c r="A12" s="8" t="s">
        <v>12</v>
      </c>
      <c r="B12" s="10" t="e">
        <f t="array" aca="1" ref="B12" ca="1">_xludf.XLOOKUP(A12,Images!$A:$A,Images!$C:$C,"")</f>
        <v>#NAME?</v>
      </c>
      <c r="C12" s="12" t="s">
        <v>38</v>
      </c>
      <c r="D12" s="12" t="s">
        <v>39</v>
      </c>
      <c r="E12" s="12" t="s">
        <v>39</v>
      </c>
      <c r="F12" s="12" t="s">
        <v>40</v>
      </c>
      <c r="G12" s="12" t="s">
        <v>41</v>
      </c>
      <c r="H12" s="12" t="s">
        <v>40</v>
      </c>
      <c r="I12" s="12" t="e">
        <f t="array" aca="1" ref="I12" ca="1">_xludf.XLOOKUP("Beetle",Images!$A:$A,Images!$C:$C,"")</f>
        <v>#NAME?</v>
      </c>
      <c r="J12" s="11" t="s">
        <v>37</v>
      </c>
      <c r="K12" s="12" t="e">
        <f t="shared" ref="K12:R12" ca="1" si="7">INDEX($C$5:$R$20, COLUMN()-2, ROW()-4)</f>
        <v>#NAME?</v>
      </c>
      <c r="L12" s="12" t="str">
        <f t="shared" si="7"/>
        <v>13 Eggs</v>
      </c>
      <c r="M12" s="12" t="str">
        <f t="shared" si="7"/>
        <v>Legendary Equipment (Stone Hammer)</v>
      </c>
      <c r="N12" s="12" t="str">
        <f t="shared" si="7"/>
        <v>13 Eggs</v>
      </c>
      <c r="O12" s="12" t="str">
        <f t="shared" si="7"/>
        <v>136 Currency</v>
      </c>
      <c r="P12" s="12" t="str">
        <f t="shared" si="7"/>
        <v>22 Eggs</v>
      </c>
      <c r="Q12" s="12" t="str">
        <f t="shared" si="7"/>
        <v>136 Currency</v>
      </c>
      <c r="R12" s="12" t="str">
        <f t="shared" si="7"/>
        <v>3 Fortune Scrolls</v>
      </c>
    </row>
    <row r="13" spans="1:18" ht="37.5" customHeight="1">
      <c r="A13" s="8" t="s">
        <v>13</v>
      </c>
      <c r="B13" s="10" t="e">
        <f t="array" aca="1" ref="B13" ca="1">_xludf.XLOOKUP(A13,Images!$A:$A,Images!$C:$C,"")</f>
        <v>#NAME?</v>
      </c>
      <c r="C13" s="14" t="s">
        <v>38</v>
      </c>
      <c r="D13" s="12" t="s">
        <v>42</v>
      </c>
      <c r="E13" s="12" t="s">
        <v>42</v>
      </c>
      <c r="F13" s="12" t="s">
        <v>43</v>
      </c>
      <c r="G13" s="12" t="s">
        <v>44</v>
      </c>
      <c r="H13" s="12" t="s">
        <v>45</v>
      </c>
      <c r="I13" s="12" t="s">
        <v>46</v>
      </c>
      <c r="J13" s="12" t="e">
        <f t="array" aca="1" ref="J13" ca="1">_xludf.XLOOKUP("Power",Images!$A:$A,Images!$C:$C,"")</f>
        <v>#NAME?</v>
      </c>
      <c r="K13" s="11" t="s">
        <v>37</v>
      </c>
      <c r="L13" s="12" t="str">
        <f t="shared" ref="L13:R13" si="8">INDEX($C$5:$R$20, COLUMN()-2, ROW()-4)</f>
        <v>3 Skill Points</v>
      </c>
      <c r="M13" s="12" t="e">
        <f t="shared" ca="1" si="8"/>
        <v>#NAME?</v>
      </c>
      <c r="N13" s="12" t="str">
        <f t="shared" si="8"/>
        <v>26 Raid Cards</v>
      </c>
      <c r="O13" s="12" t="str">
        <f t="shared" si="8"/>
        <v>19 Crafting Shards</v>
      </c>
      <c r="P13" s="12" t="str">
        <f t="shared" si="8"/>
        <v>19 Crafting Shards</v>
      </c>
      <c r="Q13" s="12" t="str">
        <f t="shared" si="8"/>
        <v>19 Crafting Shards</v>
      </c>
      <c r="R13" s="12" t="str">
        <f t="shared" si="8"/>
        <v>252 Currency</v>
      </c>
    </row>
    <row r="14" spans="1:18" ht="37.5" customHeight="1">
      <c r="A14" s="8" t="s">
        <v>10</v>
      </c>
      <c r="B14" s="10" t="e">
        <f t="array" aca="1" ref="B14" ca="1">_xludf.XLOOKUP(A14,Images!$A:$A,Images!$C:$C,"")</f>
        <v>#NAME?</v>
      </c>
      <c r="C14" s="12" t="s">
        <v>47</v>
      </c>
      <c r="D14" s="15" t="s">
        <v>48</v>
      </c>
      <c r="E14" s="12" t="s">
        <v>48</v>
      </c>
      <c r="F14" s="14" t="s">
        <v>49</v>
      </c>
      <c r="G14" s="12" t="s">
        <v>50</v>
      </c>
      <c r="H14" s="12" t="s">
        <v>50</v>
      </c>
      <c r="I14" s="12" t="s">
        <v>51</v>
      </c>
      <c r="J14" s="12" t="s">
        <v>52</v>
      </c>
      <c r="K14" s="12" t="s">
        <v>53</v>
      </c>
      <c r="L14" s="11" t="s">
        <v>54</v>
      </c>
      <c r="M14" s="12" t="e">
        <f t="shared" ref="M14:R14" ca="1" si="9">INDEX($C$5:$R$20, COLUMN()-2, ROW()-4)</f>
        <v>#NAME?</v>
      </c>
      <c r="N14" s="12" t="str">
        <f t="shared" si="9"/>
        <v>Avatar + 108 Currency</v>
      </c>
      <c r="O14" s="12" t="str">
        <f t="shared" si="9"/>
        <v>8 Fortune Weapons</v>
      </c>
      <c r="P14" s="12" t="str">
        <f t="shared" si="9"/>
        <v>54 Raid Cards</v>
      </c>
      <c r="Q14" s="12" t="str">
        <f t="shared" si="9"/>
        <v>54 Raid Cards</v>
      </c>
      <c r="R14" s="12" t="str">
        <f t="shared" si="9"/>
        <v>3 Fortune Scrolls</v>
      </c>
    </row>
    <row r="15" spans="1:18" ht="37.5" customHeight="1">
      <c r="A15" s="8" t="s">
        <v>11</v>
      </c>
      <c r="B15" s="10" t="e">
        <f t="array" aca="1" ref="B15" ca="1">_xludf.XLOOKUP(A15,Images!$A:$A,Images!$C:$C,"")</f>
        <v>#NAME?</v>
      </c>
      <c r="C15" s="12" t="s">
        <v>55</v>
      </c>
      <c r="D15" s="12" t="s">
        <v>56</v>
      </c>
      <c r="E15" s="12" t="s">
        <v>55</v>
      </c>
      <c r="F15" s="12" t="s">
        <v>57</v>
      </c>
      <c r="G15" s="12" t="s">
        <v>55</v>
      </c>
      <c r="H15" s="12" t="s">
        <v>58</v>
      </c>
      <c r="I15" s="12" t="s">
        <v>51</v>
      </c>
      <c r="J15" s="12" t="s">
        <v>59</v>
      </c>
      <c r="K15" s="12" t="e">
        <f t="array" aca="1" ref="K15" ca="1">_xludf.XLOOKUP("Steel",Images!$A:$A,Images!$C:$C,"")</f>
        <v>#NAME?</v>
      </c>
      <c r="L15" s="12" t="e">
        <f t="array" aca="1" ref="L15" ca="1">_xludf.XLOOKUP("Tooth",Images!$A:$A,Images!$C:$C,"")</f>
        <v>#NAME?</v>
      </c>
      <c r="M15" s="11" t="s">
        <v>60</v>
      </c>
      <c r="N15" s="12" t="e">
        <f t="shared" ref="N15:R15" ca="1" si="10">INDEX($C$5:$R$20, COLUMN()-2, ROW()-4)</f>
        <v>#NAME?</v>
      </c>
      <c r="O15" s="12" t="str">
        <f t="shared" si="10"/>
        <v>164 Currency</v>
      </c>
      <c r="P15" s="12" t="str">
        <f t="shared" si="10"/>
        <v>164 Currency</v>
      </c>
      <c r="Q15" s="12" t="str">
        <f t="shared" si="10"/>
        <v>41 Wildcards</v>
      </c>
      <c r="R15" s="12" t="str">
        <f t="shared" si="10"/>
        <v>280 Currency</v>
      </c>
    </row>
    <row r="16" spans="1:18" ht="37.5" customHeight="1">
      <c r="A16" s="8" t="s">
        <v>5</v>
      </c>
      <c r="B16" s="10" t="e">
        <f t="array" aca="1" ref="B16" ca="1">_xludf.XLOOKUP(A16,Images!$A:$A,Images!$C:$C,"")</f>
        <v>#NAME?</v>
      </c>
      <c r="C16" s="12" t="s">
        <v>61</v>
      </c>
      <c r="D16" s="12" t="s">
        <v>62</v>
      </c>
      <c r="E16" s="12" t="s">
        <v>48</v>
      </c>
      <c r="F16" s="12" t="s">
        <v>50</v>
      </c>
      <c r="G16" s="12" t="s">
        <v>58</v>
      </c>
      <c r="H16" s="12" t="s">
        <v>50</v>
      </c>
      <c r="I16" s="12" t="s">
        <v>63</v>
      </c>
      <c r="J16" s="12" t="s">
        <v>52</v>
      </c>
      <c r="K16" s="12" t="s">
        <v>63</v>
      </c>
      <c r="L16" s="12" t="s">
        <v>64</v>
      </c>
      <c r="M16" s="16" t="e">
        <f t="array" aca="1" ref="M16" ca="1">_xludf.XLOOKUP("Flame",Images!$A:$A,Images!$C:$C,"")</f>
        <v>#NAME?</v>
      </c>
      <c r="N16" s="11" t="s">
        <v>65</v>
      </c>
      <c r="O16" s="12" t="str">
        <f t="shared" ref="O16:R16" si="11">INDEX($C$5:$R$20, COLUMN()-2, ROW()-4)</f>
        <v>8 Fortune Weapons</v>
      </c>
      <c r="P16" s="12" t="str">
        <f t="shared" si="11"/>
        <v>2 Fortune Scrolls</v>
      </c>
      <c r="Q16" s="12" t="str">
        <f t="shared" si="11"/>
        <v>6 Skill Points</v>
      </c>
      <c r="R16" s="12" t="str">
        <f t="shared" si="11"/>
        <v>11 Skill Points</v>
      </c>
    </row>
    <row r="17" spans="1:18" ht="37.5" customHeight="1">
      <c r="A17" s="8" t="s">
        <v>6</v>
      </c>
      <c r="B17" s="10" t="e">
        <f t="array" aca="1" ref="B17" ca="1">_xludf.XLOOKUP(A17,Images!$A:$A,Images!$C:$C,"")</f>
        <v>#NAME?</v>
      </c>
      <c r="C17" s="12" t="s">
        <v>66</v>
      </c>
      <c r="D17" s="12" t="s">
        <v>66</v>
      </c>
      <c r="E17" s="12" t="s">
        <v>66</v>
      </c>
      <c r="F17" s="12" t="s">
        <v>67</v>
      </c>
      <c r="G17" s="12" t="s">
        <v>67</v>
      </c>
      <c r="H17" s="12" t="s">
        <v>67</v>
      </c>
      <c r="I17" s="14" t="s">
        <v>68</v>
      </c>
      <c r="J17" s="12" t="s">
        <v>68</v>
      </c>
      <c r="K17" s="12" t="s">
        <v>69</v>
      </c>
      <c r="L17" s="12" t="s">
        <v>70</v>
      </c>
      <c r="M17" s="12" t="s">
        <v>71</v>
      </c>
      <c r="N17" s="12" t="s">
        <v>70</v>
      </c>
      <c r="O17" s="11" t="s">
        <v>72</v>
      </c>
      <c r="P17" s="12" t="str">
        <f t="shared" ref="P17:R17" si="12">INDEX($C$5:$R$20, COLUMN()-2, ROW()-4)</f>
        <v>11 Fortune Weapons</v>
      </c>
      <c r="Q17" s="12" t="e">
        <f t="shared" ca="1" si="12"/>
        <v>#NAME?</v>
      </c>
      <c r="R17" s="12" t="str">
        <f t="shared" si="12"/>
        <v>84 Wildcards</v>
      </c>
    </row>
    <row r="18" spans="1:18" ht="37.5" customHeight="1">
      <c r="A18" s="8" t="s">
        <v>7</v>
      </c>
      <c r="B18" s="10" t="e">
        <f t="array" aca="1" ref="B18" ca="1">_xludf.XLOOKUP(A18,Images!$A:$A,Images!$C:$C,"")</f>
        <v>#NAME?</v>
      </c>
      <c r="C18" s="12" t="s">
        <v>73</v>
      </c>
      <c r="D18" s="12" t="s">
        <v>66</v>
      </c>
      <c r="E18" s="12" t="s">
        <v>66</v>
      </c>
      <c r="F18" s="12" t="s">
        <v>67</v>
      </c>
      <c r="G18" s="12" t="s">
        <v>67</v>
      </c>
      <c r="H18" s="12" t="s">
        <v>74</v>
      </c>
      <c r="I18" s="14" t="s">
        <v>75</v>
      </c>
      <c r="J18" s="12" t="s">
        <v>76</v>
      </c>
      <c r="K18" s="12" t="s">
        <v>69</v>
      </c>
      <c r="L18" s="12" t="s">
        <v>77</v>
      </c>
      <c r="M18" s="12" t="s">
        <v>71</v>
      </c>
      <c r="N18" s="12" t="s">
        <v>78</v>
      </c>
      <c r="O18" s="12" t="s">
        <v>79</v>
      </c>
      <c r="P18" s="11" t="s">
        <v>72</v>
      </c>
      <c r="Q18" s="12" t="str">
        <f t="shared" ref="Q18:R18" si="13">INDEX($C$5:$R$20, COLUMN()-2, ROW()-4)</f>
        <v>220 Currency</v>
      </c>
      <c r="R18" s="12" t="str">
        <f t="shared" si="13"/>
        <v>84 Wildcards</v>
      </c>
    </row>
    <row r="19" spans="1:18" ht="37.5" customHeight="1">
      <c r="A19" s="8" t="s">
        <v>8</v>
      </c>
      <c r="B19" s="10" t="e">
        <f t="array" aca="1" ref="B19" ca="1">_xludf.XLOOKUP(A19,Images!$A:$A,Images!$C:$C,"")</f>
        <v>#NAME?</v>
      </c>
      <c r="C19" s="12" t="s">
        <v>66</v>
      </c>
      <c r="D19" s="12" t="s">
        <v>66</v>
      </c>
      <c r="E19" s="12" t="s">
        <v>66</v>
      </c>
      <c r="F19" s="12" t="s">
        <v>80</v>
      </c>
      <c r="G19" s="12" t="s">
        <v>81</v>
      </c>
      <c r="H19" s="12" t="s">
        <v>67</v>
      </c>
      <c r="I19" s="12" t="s">
        <v>75</v>
      </c>
      <c r="J19" s="12" t="s">
        <v>68</v>
      </c>
      <c r="K19" s="12" t="s">
        <v>69</v>
      </c>
      <c r="L19" s="12" t="s">
        <v>77</v>
      </c>
      <c r="M19" s="12" t="s">
        <v>82</v>
      </c>
      <c r="N19" s="12" t="s">
        <v>83</v>
      </c>
      <c r="O19" s="12" t="e">
        <f t="array" aca="1" ref="O19" ca="1">_xludf.XLOOKUP("Scale",Images!$A:$A,Images!$C:$C,"")</f>
        <v>#NAME?</v>
      </c>
      <c r="P19" s="12" t="s">
        <v>72</v>
      </c>
      <c r="Q19" s="11" t="s">
        <v>78</v>
      </c>
      <c r="R19" s="12" t="str">
        <f t="array" ref="R19">INDEX($C$5:$R$20, COLUMN()-2, ROW()-4)</f>
        <v>336 Currency</v>
      </c>
    </row>
    <row r="20" spans="1:18" ht="37.5" customHeight="1">
      <c r="A20" s="8" t="s">
        <v>9</v>
      </c>
      <c r="B20" s="10" t="e">
        <f t="array" aca="1" ref="B20" ca="1">_xludf.XLOOKUP(A20,Images!$A:$A,Images!$C:$C,"")</f>
        <v>#NAME?</v>
      </c>
      <c r="C20" s="12" t="s">
        <v>84</v>
      </c>
      <c r="D20" s="12" t="s">
        <v>85</v>
      </c>
      <c r="E20" s="12" t="s">
        <v>84</v>
      </c>
      <c r="F20" s="14" t="s">
        <v>85</v>
      </c>
      <c r="G20" s="12" t="s">
        <v>86</v>
      </c>
      <c r="H20" s="12" t="s">
        <v>87</v>
      </c>
      <c r="I20" s="12" t="s">
        <v>88</v>
      </c>
      <c r="J20" s="12" t="s">
        <v>89</v>
      </c>
      <c r="K20" s="12" t="s">
        <v>88</v>
      </c>
      <c r="L20" s="12" t="s">
        <v>89</v>
      </c>
      <c r="M20" s="12" t="s">
        <v>90</v>
      </c>
      <c r="N20" s="12" t="s">
        <v>91</v>
      </c>
      <c r="O20" s="12" t="s">
        <v>92</v>
      </c>
      <c r="P20" s="14" t="s">
        <v>92</v>
      </c>
      <c r="Q20" s="14" t="s">
        <v>93</v>
      </c>
      <c r="R20" s="11" t="s">
        <v>94</v>
      </c>
    </row>
  </sheetData>
  <mergeCells count="1">
    <mergeCell ref="A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9"/>
  <sheetViews>
    <sheetView tabSelected="1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F6" sqref="F6"/>
    </sheetView>
  </sheetViews>
  <sheetFormatPr defaultColWidth="12.6640625" defaultRowHeight="15.75" customHeight="1"/>
  <cols>
    <col min="1" max="1" width="21.88671875" customWidth="1"/>
    <col min="2" max="17" width="12.6640625" customWidth="1"/>
  </cols>
  <sheetData>
    <row r="1" spans="1:17" ht="37.5" hidden="1" customHeight="1">
      <c r="A1" s="2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37.5" hidden="1" customHeight="1">
      <c r="A2" s="2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37.5" customHeight="1">
      <c r="A3" s="5"/>
      <c r="B3" s="6" t="str">
        <f t="array" ref="B3:Q3">TRANSPOSE(A4:A19)</f>
        <v>Poison</v>
      </c>
      <c r="C3" s="7" t="str">
        <v>Tooth</v>
      </c>
      <c r="D3" s="7" t="str">
        <v>Steel</v>
      </c>
      <c r="E3" s="8" t="str">
        <v>Power</v>
      </c>
      <c r="F3" s="8" t="str">
        <v>Spirit</v>
      </c>
      <c r="G3" s="7" t="str">
        <v>Feather</v>
      </c>
      <c r="H3" s="7" t="str">
        <v>Egg</v>
      </c>
      <c r="I3" s="7" t="str">
        <v>Mushroom</v>
      </c>
      <c r="J3" s="7" t="str">
        <v>Pepper</v>
      </c>
      <c r="K3" s="7" t="str">
        <v>Sand</v>
      </c>
      <c r="L3" s="7" t="str">
        <v>Lightning</v>
      </c>
      <c r="M3" s="8" t="str">
        <v>Beetle</v>
      </c>
      <c r="N3" s="7" t="str">
        <v>Flame</v>
      </c>
      <c r="O3" s="7" t="str">
        <v>Scale</v>
      </c>
      <c r="P3" s="7" t="str">
        <v>Essence</v>
      </c>
      <c r="Q3" s="7" t="str">
        <v>Shadow</v>
      </c>
    </row>
    <row r="4" spans="1:17" ht="37.5" customHeight="1">
      <c r="A4" s="8" t="s">
        <v>4</v>
      </c>
      <c r="B4" s="11" t="s">
        <v>489</v>
      </c>
      <c r="C4" s="12" t="s">
        <v>11</v>
      </c>
      <c r="D4" s="12" t="s">
        <v>13</v>
      </c>
      <c r="E4" s="12" t="s">
        <v>488</v>
      </c>
      <c r="F4" s="12" t="s">
        <v>24</v>
      </c>
      <c r="G4" s="12" t="s">
        <v>96</v>
      </c>
      <c r="H4" s="12" t="s">
        <v>106</v>
      </c>
      <c r="I4" s="12" t="s">
        <v>38</v>
      </c>
      <c r="J4" s="12" t="s">
        <v>38</v>
      </c>
      <c r="K4" s="12" t="s">
        <v>47</v>
      </c>
      <c r="L4" s="12" t="s">
        <v>55</v>
      </c>
      <c r="M4" s="12" t="s">
        <v>61</v>
      </c>
      <c r="N4" s="12" t="s">
        <v>66</v>
      </c>
      <c r="O4" s="12" t="s">
        <v>73</v>
      </c>
      <c r="P4" s="12" t="s">
        <v>66</v>
      </c>
      <c r="Q4" s="12" t="s">
        <v>490</v>
      </c>
    </row>
    <row r="5" spans="1:17" ht="37.5" customHeight="1">
      <c r="A5" s="8" t="s">
        <v>6</v>
      </c>
      <c r="B5" s="12" t="s">
        <v>11</v>
      </c>
      <c r="C5" s="11" t="s">
        <v>23</v>
      </c>
      <c r="D5" s="12" t="s">
        <v>20</v>
      </c>
      <c r="E5" s="12" t="s">
        <v>24</v>
      </c>
      <c r="F5" s="12" t="s">
        <v>27</v>
      </c>
      <c r="G5" s="12" t="s">
        <v>488</v>
      </c>
      <c r="H5" s="12" t="s">
        <v>42</v>
      </c>
      <c r="I5" s="12" t="s">
        <v>39</v>
      </c>
      <c r="J5" s="12" t="s">
        <v>33</v>
      </c>
      <c r="K5" s="12" t="s">
        <v>48</v>
      </c>
      <c r="L5" s="12" t="s">
        <v>47</v>
      </c>
      <c r="M5" s="12" t="s">
        <v>62</v>
      </c>
      <c r="N5" s="12" t="s">
        <v>66</v>
      </c>
      <c r="O5" s="12" t="s">
        <v>66</v>
      </c>
      <c r="P5" s="12" t="s">
        <v>66</v>
      </c>
      <c r="Q5" s="12" t="s">
        <v>85</v>
      </c>
    </row>
    <row r="6" spans="1:17" ht="37.5" customHeight="1">
      <c r="A6" s="8" t="s">
        <v>8</v>
      </c>
      <c r="B6" s="12" t="s">
        <v>13</v>
      </c>
      <c r="C6" s="13" t="s">
        <v>20</v>
      </c>
      <c r="D6" s="11" t="s">
        <v>23</v>
      </c>
      <c r="E6" s="12" t="s">
        <v>25</v>
      </c>
      <c r="F6" s="12" t="s">
        <v>28</v>
      </c>
      <c r="G6" s="12" t="s">
        <v>491</v>
      </c>
      <c r="H6" s="12" t="s">
        <v>42</v>
      </c>
      <c r="I6" s="12" t="s">
        <v>39</v>
      </c>
      <c r="J6" s="12" t="s">
        <v>34</v>
      </c>
      <c r="K6" s="12" t="s">
        <v>48</v>
      </c>
      <c r="L6" s="12" t="s">
        <v>55</v>
      </c>
      <c r="M6" s="12" t="s">
        <v>48</v>
      </c>
      <c r="N6" s="12" t="s">
        <v>492</v>
      </c>
      <c r="O6" s="12" t="s">
        <v>66</v>
      </c>
      <c r="P6" s="12" t="s">
        <v>66</v>
      </c>
      <c r="Q6" s="12" t="s">
        <v>84</v>
      </c>
    </row>
    <row r="7" spans="1:17" ht="37.5" customHeight="1">
      <c r="A7" s="8" t="s">
        <v>11</v>
      </c>
      <c r="B7" s="12" t="s">
        <v>488</v>
      </c>
      <c r="C7" s="12" t="s">
        <v>24</v>
      </c>
      <c r="D7" s="13" t="s">
        <v>25</v>
      </c>
      <c r="E7" s="11" t="s">
        <v>26</v>
      </c>
      <c r="F7" s="12" t="s">
        <v>29</v>
      </c>
      <c r="G7" s="12" t="s">
        <v>21</v>
      </c>
      <c r="H7" s="12" t="s">
        <v>35</v>
      </c>
      <c r="I7" s="12" t="s">
        <v>40</v>
      </c>
      <c r="J7" s="12" t="s">
        <v>43</v>
      </c>
      <c r="K7" s="12" t="s">
        <v>49</v>
      </c>
      <c r="L7" s="12" t="s">
        <v>57</v>
      </c>
      <c r="M7" s="12" t="s">
        <v>50</v>
      </c>
      <c r="N7" s="12" t="s">
        <v>67</v>
      </c>
      <c r="O7" s="12" t="s">
        <v>67</v>
      </c>
      <c r="P7" s="12" t="s">
        <v>80</v>
      </c>
      <c r="Q7" s="12" t="s">
        <v>85</v>
      </c>
    </row>
    <row r="8" spans="1:17" ht="37.5" customHeight="1">
      <c r="A8" s="8" t="s">
        <v>13</v>
      </c>
      <c r="B8" s="12" t="s">
        <v>24</v>
      </c>
      <c r="C8" s="12" t="s">
        <v>27</v>
      </c>
      <c r="D8" s="13" t="s">
        <v>28</v>
      </c>
      <c r="E8" s="13" t="s">
        <v>29</v>
      </c>
      <c r="F8" s="11" t="s">
        <v>29</v>
      </c>
      <c r="G8" s="12" t="s">
        <v>17</v>
      </c>
      <c r="H8" s="12" t="s">
        <v>44</v>
      </c>
      <c r="I8" s="12" t="s">
        <v>44</v>
      </c>
      <c r="J8" s="12" t="s">
        <v>501</v>
      </c>
      <c r="K8" s="12" t="s">
        <v>50</v>
      </c>
      <c r="L8" s="12" t="s">
        <v>55</v>
      </c>
      <c r="M8" s="12" t="s">
        <v>58</v>
      </c>
      <c r="N8" s="12" t="s">
        <v>67</v>
      </c>
      <c r="O8" s="12" t="s">
        <v>488</v>
      </c>
      <c r="P8" s="12" t="s">
        <v>81</v>
      </c>
      <c r="Q8" s="12" t="s">
        <v>86</v>
      </c>
    </row>
    <row r="9" spans="1:17" ht="37.5" customHeight="1">
      <c r="A9" s="8" t="s">
        <v>20</v>
      </c>
      <c r="B9" s="12" t="s">
        <v>96</v>
      </c>
      <c r="C9" s="12" t="s">
        <v>488</v>
      </c>
      <c r="D9" s="12" t="s">
        <v>491</v>
      </c>
      <c r="E9" s="12" t="s">
        <v>21</v>
      </c>
      <c r="F9" s="12" t="s">
        <v>17</v>
      </c>
      <c r="G9" s="11" t="s">
        <v>29</v>
      </c>
      <c r="H9" s="12" t="s">
        <v>129</v>
      </c>
      <c r="I9" s="12" t="s">
        <v>40</v>
      </c>
      <c r="J9" s="12" t="s">
        <v>1</v>
      </c>
      <c r="K9" s="12" t="s">
        <v>50</v>
      </c>
      <c r="L9" s="12" t="s">
        <v>493</v>
      </c>
      <c r="M9" s="12" t="s">
        <v>50</v>
      </c>
      <c r="N9" s="12" t="s">
        <v>67</v>
      </c>
      <c r="O9" s="12" t="s">
        <v>67</v>
      </c>
      <c r="P9" s="12" t="s">
        <v>74</v>
      </c>
      <c r="Q9" s="12" t="s">
        <v>494</v>
      </c>
    </row>
    <row r="10" spans="1:17" ht="37.5" customHeight="1">
      <c r="A10" s="8" t="s">
        <v>96</v>
      </c>
      <c r="B10" s="12" t="s">
        <v>106</v>
      </c>
      <c r="C10" s="12" t="s">
        <v>42</v>
      </c>
      <c r="D10" s="12" t="s">
        <v>42</v>
      </c>
      <c r="E10" s="12" t="s">
        <v>35</v>
      </c>
      <c r="F10" s="12" t="s">
        <v>44</v>
      </c>
      <c r="G10" s="12" t="s">
        <v>129</v>
      </c>
      <c r="H10" s="11" t="s">
        <v>37</v>
      </c>
      <c r="I10" s="12" t="s">
        <v>495</v>
      </c>
      <c r="J10" s="12" t="s">
        <v>5</v>
      </c>
      <c r="K10" s="12" t="s">
        <v>133</v>
      </c>
      <c r="L10" s="12" t="s">
        <v>51</v>
      </c>
      <c r="M10" s="12" t="s">
        <v>63</v>
      </c>
      <c r="N10" s="12" t="s">
        <v>68</v>
      </c>
      <c r="O10" s="12" t="s">
        <v>68</v>
      </c>
      <c r="P10" s="12" t="s">
        <v>75</v>
      </c>
      <c r="Q10" s="12" t="s">
        <v>88</v>
      </c>
    </row>
    <row r="11" spans="1:17" ht="37.5" customHeight="1">
      <c r="A11" s="8" t="s">
        <v>17</v>
      </c>
      <c r="B11" s="12" t="s">
        <v>38</v>
      </c>
      <c r="C11" s="12" t="s">
        <v>39</v>
      </c>
      <c r="D11" s="12" t="s">
        <v>39</v>
      </c>
      <c r="E11" s="13" t="s">
        <v>40</v>
      </c>
      <c r="F11" s="12" t="s">
        <v>44</v>
      </c>
      <c r="G11" s="12" t="s">
        <v>40</v>
      </c>
      <c r="H11" s="12" t="s">
        <v>495</v>
      </c>
      <c r="I11" s="11" t="s">
        <v>37</v>
      </c>
      <c r="J11" s="12" t="s">
        <v>3</v>
      </c>
      <c r="K11" s="12" t="s">
        <v>133</v>
      </c>
      <c r="L11" s="12" t="s">
        <v>496</v>
      </c>
      <c r="M11" s="12" t="s">
        <v>133</v>
      </c>
      <c r="N11" s="12" t="s">
        <v>68</v>
      </c>
      <c r="O11" s="12" t="s">
        <v>188</v>
      </c>
      <c r="P11" s="12" t="s">
        <v>69</v>
      </c>
      <c r="Q11" s="12" t="s">
        <v>89</v>
      </c>
    </row>
    <row r="12" spans="1:17" ht="37.5" customHeight="1">
      <c r="A12" s="8" t="s">
        <v>21</v>
      </c>
      <c r="B12" s="14" t="s">
        <v>38</v>
      </c>
      <c r="C12" s="12" t="s">
        <v>33</v>
      </c>
      <c r="D12" s="12" t="s">
        <v>34</v>
      </c>
      <c r="E12" s="12" t="s">
        <v>43</v>
      </c>
      <c r="F12" s="12" t="s">
        <v>41</v>
      </c>
      <c r="G12" s="12" t="s">
        <v>1</v>
      </c>
      <c r="H12" s="12" t="s">
        <v>5</v>
      </c>
      <c r="I12" s="12" t="s">
        <v>3</v>
      </c>
      <c r="J12" s="11" t="s">
        <v>37</v>
      </c>
      <c r="K12" s="12" t="s">
        <v>53</v>
      </c>
      <c r="L12" s="17" t="s">
        <v>10</v>
      </c>
      <c r="M12" s="12" t="s">
        <v>497</v>
      </c>
      <c r="N12" s="12" t="s">
        <v>69</v>
      </c>
      <c r="O12" s="12" t="s">
        <v>69</v>
      </c>
      <c r="P12" s="12" t="s">
        <v>69</v>
      </c>
      <c r="Q12" s="12" t="s">
        <v>88</v>
      </c>
    </row>
    <row r="13" spans="1:17" ht="37.5" customHeight="1">
      <c r="A13" s="8" t="s">
        <v>1</v>
      </c>
      <c r="B13" s="12" t="s">
        <v>47</v>
      </c>
      <c r="C13" s="12" t="s">
        <v>48</v>
      </c>
      <c r="D13" s="12" t="s">
        <v>48</v>
      </c>
      <c r="E13" s="14" t="s">
        <v>49</v>
      </c>
      <c r="F13" s="12" t="s">
        <v>50</v>
      </c>
      <c r="G13" s="12" t="s">
        <v>50</v>
      </c>
      <c r="H13" s="13" t="s">
        <v>133</v>
      </c>
      <c r="I13" s="13" t="s">
        <v>133</v>
      </c>
      <c r="J13" s="12" t="s">
        <v>53</v>
      </c>
      <c r="K13" s="11" t="s">
        <v>54</v>
      </c>
      <c r="L13" s="12" t="s">
        <v>54</v>
      </c>
      <c r="M13" s="12" t="s">
        <v>7</v>
      </c>
      <c r="N13" s="12" t="s">
        <v>70</v>
      </c>
      <c r="O13" s="12" t="s">
        <v>77</v>
      </c>
      <c r="P13" s="12" t="s">
        <v>77</v>
      </c>
      <c r="Q13" s="12" t="s">
        <v>89</v>
      </c>
    </row>
    <row r="14" spans="1:17" ht="37.5" customHeight="1">
      <c r="A14" s="8" t="s">
        <v>3</v>
      </c>
      <c r="B14" s="12" t="s">
        <v>55</v>
      </c>
      <c r="C14" s="12" t="s">
        <v>47</v>
      </c>
      <c r="D14" s="12" t="s">
        <v>55</v>
      </c>
      <c r="E14" s="14" t="s">
        <v>57</v>
      </c>
      <c r="F14" s="12" t="s">
        <v>55</v>
      </c>
      <c r="G14" s="12" t="s">
        <v>493</v>
      </c>
      <c r="H14" s="13" t="s">
        <v>51</v>
      </c>
      <c r="I14" s="12" t="s">
        <v>425</v>
      </c>
      <c r="J14" s="12" t="s">
        <v>10</v>
      </c>
      <c r="K14" s="13" t="s">
        <v>54</v>
      </c>
      <c r="L14" s="11" t="s">
        <v>498</v>
      </c>
      <c r="M14" s="12" t="s">
        <v>9</v>
      </c>
      <c r="N14" s="12" t="s">
        <v>71</v>
      </c>
      <c r="O14" s="12" t="s">
        <v>71</v>
      </c>
      <c r="P14" s="12" t="s">
        <v>82</v>
      </c>
      <c r="Q14" s="12" t="s">
        <v>90</v>
      </c>
    </row>
    <row r="15" spans="1:17" ht="37.5" customHeight="1">
      <c r="A15" s="8" t="s">
        <v>5</v>
      </c>
      <c r="B15" s="12" t="s">
        <v>61</v>
      </c>
      <c r="C15" s="12" t="s">
        <v>62</v>
      </c>
      <c r="D15" s="12" t="s">
        <v>48</v>
      </c>
      <c r="E15" s="12" t="s">
        <v>50</v>
      </c>
      <c r="F15" s="12" t="s">
        <v>58</v>
      </c>
      <c r="G15" s="12" t="s">
        <v>50</v>
      </c>
      <c r="H15" s="12" t="s">
        <v>63</v>
      </c>
      <c r="I15" s="12" t="s">
        <v>133</v>
      </c>
      <c r="J15" s="12" t="s">
        <v>497</v>
      </c>
      <c r="K15" s="13" t="s">
        <v>7</v>
      </c>
      <c r="L15" s="13" t="s">
        <v>9</v>
      </c>
      <c r="M15" s="11" t="s">
        <v>65</v>
      </c>
      <c r="N15" s="12" t="s">
        <v>425</v>
      </c>
      <c r="O15" s="12" t="s">
        <v>425</v>
      </c>
      <c r="P15" s="12" t="s">
        <v>499</v>
      </c>
      <c r="Q15" s="12" t="s">
        <v>91</v>
      </c>
    </row>
    <row r="16" spans="1:17" ht="37.5" customHeight="1">
      <c r="A16" s="8" t="s">
        <v>7</v>
      </c>
      <c r="B16" s="12" t="s">
        <v>66</v>
      </c>
      <c r="C16" s="12" t="s">
        <v>66</v>
      </c>
      <c r="D16" s="12" t="s">
        <v>492</v>
      </c>
      <c r="E16" s="12" t="s">
        <v>67</v>
      </c>
      <c r="F16" s="12" t="s">
        <v>67</v>
      </c>
      <c r="G16" s="12" t="s">
        <v>67</v>
      </c>
      <c r="H16" s="12" t="s">
        <v>68</v>
      </c>
      <c r="I16" s="12" t="s">
        <v>68</v>
      </c>
      <c r="J16" s="12" t="s">
        <v>69</v>
      </c>
      <c r="K16" s="12" t="s">
        <v>70</v>
      </c>
      <c r="L16" s="12" t="s">
        <v>71</v>
      </c>
      <c r="M16" s="12" t="s">
        <v>425</v>
      </c>
      <c r="N16" s="11" t="s">
        <v>12</v>
      </c>
      <c r="O16" s="12" t="s">
        <v>79</v>
      </c>
      <c r="P16" s="12" t="s">
        <v>72</v>
      </c>
      <c r="Q16" s="12" t="s">
        <v>92</v>
      </c>
    </row>
    <row r="17" spans="1:17" ht="37.5" customHeight="1">
      <c r="A17" s="8" t="s">
        <v>9</v>
      </c>
      <c r="B17" s="12" t="s">
        <v>73</v>
      </c>
      <c r="C17" s="12" t="s">
        <v>66</v>
      </c>
      <c r="D17" s="12" t="s">
        <v>66</v>
      </c>
      <c r="E17" s="12" t="s">
        <v>67</v>
      </c>
      <c r="F17" s="12" t="s">
        <v>488</v>
      </c>
      <c r="G17" s="12" t="s">
        <v>67</v>
      </c>
      <c r="H17" s="14" t="s">
        <v>68</v>
      </c>
      <c r="I17" s="12" t="s">
        <v>188</v>
      </c>
      <c r="J17" s="12" t="s">
        <v>69</v>
      </c>
      <c r="K17" s="12" t="s">
        <v>77</v>
      </c>
      <c r="L17" s="12" t="s">
        <v>71</v>
      </c>
      <c r="M17" s="12" t="s">
        <v>425</v>
      </c>
      <c r="N17" s="12" t="s">
        <v>79</v>
      </c>
      <c r="O17" s="11" t="s">
        <v>72</v>
      </c>
      <c r="P17" s="12" t="s">
        <v>72</v>
      </c>
      <c r="Q17" s="12" t="s">
        <v>92</v>
      </c>
    </row>
    <row r="18" spans="1:17" ht="37.5" customHeight="1">
      <c r="A18" s="8" t="s">
        <v>10</v>
      </c>
      <c r="B18" s="12" t="s">
        <v>66</v>
      </c>
      <c r="C18" s="12" t="s">
        <v>66</v>
      </c>
      <c r="D18" s="12" t="s">
        <v>66</v>
      </c>
      <c r="E18" s="12" t="s">
        <v>80</v>
      </c>
      <c r="F18" s="12" t="s">
        <v>81</v>
      </c>
      <c r="G18" s="12" t="s">
        <v>74</v>
      </c>
      <c r="H18" s="14" t="s">
        <v>75</v>
      </c>
      <c r="I18" s="12" t="s">
        <v>69</v>
      </c>
      <c r="J18" s="12" t="s">
        <v>69</v>
      </c>
      <c r="K18" s="12" t="s">
        <v>77</v>
      </c>
      <c r="L18" s="12" t="s">
        <v>82</v>
      </c>
      <c r="M18" s="12" t="s">
        <v>499</v>
      </c>
      <c r="N18" s="12" t="s">
        <v>72</v>
      </c>
      <c r="O18" s="12" t="s">
        <v>72</v>
      </c>
      <c r="P18" s="11" t="s">
        <v>78</v>
      </c>
      <c r="Q18" s="12" t="s">
        <v>93</v>
      </c>
    </row>
    <row r="19" spans="1:17" ht="37.5" customHeight="1">
      <c r="A19" s="8" t="s">
        <v>12</v>
      </c>
      <c r="B19" s="12" t="s">
        <v>490</v>
      </c>
      <c r="C19" s="12" t="s">
        <v>85</v>
      </c>
      <c r="D19" s="12" t="s">
        <v>84</v>
      </c>
      <c r="E19" s="12" t="s">
        <v>85</v>
      </c>
      <c r="F19" s="12" t="s">
        <v>86</v>
      </c>
      <c r="G19" s="12" t="s">
        <v>494</v>
      </c>
      <c r="H19" s="14" t="s">
        <v>88</v>
      </c>
      <c r="I19" s="12" t="s">
        <v>89</v>
      </c>
      <c r="J19" s="12" t="s">
        <v>88</v>
      </c>
      <c r="K19" s="12" t="s">
        <v>89</v>
      </c>
      <c r="L19" s="12" t="s">
        <v>90</v>
      </c>
      <c r="M19" s="12" t="s">
        <v>91</v>
      </c>
      <c r="N19" s="12" t="s">
        <v>92</v>
      </c>
      <c r="O19" s="12" t="s">
        <v>92</v>
      </c>
      <c r="P19" s="14" t="s">
        <v>93</v>
      </c>
      <c r="Q19" s="11" t="s">
        <v>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C2EC-B94F-457E-88F5-FF28E0CA1A69}">
  <dimension ref="A1:AH127"/>
  <sheetViews>
    <sheetView workbookViewId="0">
      <selection activeCell="B22" sqref="B22"/>
    </sheetView>
  </sheetViews>
  <sheetFormatPr defaultRowHeight="13.2"/>
  <cols>
    <col min="24" max="24" width="26.44140625" customWidth="1"/>
    <col min="34" max="34" width="17.5546875" bestFit="1" customWidth="1"/>
  </cols>
  <sheetData>
    <row r="1" spans="1:34">
      <c r="AB1" s="57" t="s">
        <v>487</v>
      </c>
    </row>
    <row r="2" spans="1:34">
      <c r="B2" t="s">
        <v>4</v>
      </c>
      <c r="C2" t="s">
        <v>6</v>
      </c>
      <c r="D2" t="s">
        <v>8</v>
      </c>
      <c r="E2" t="s">
        <v>11</v>
      </c>
      <c r="F2" t="s">
        <v>13</v>
      </c>
      <c r="G2" t="s">
        <v>20</v>
      </c>
      <c r="H2" t="s">
        <v>96</v>
      </c>
      <c r="I2" t="s">
        <v>17</v>
      </c>
      <c r="J2" t="s">
        <v>21</v>
      </c>
      <c r="K2" t="s">
        <v>1</v>
      </c>
      <c r="L2" t="s">
        <v>3</v>
      </c>
      <c r="M2" t="s">
        <v>5</v>
      </c>
      <c r="N2" t="s">
        <v>7</v>
      </c>
      <c r="O2" t="s">
        <v>9</v>
      </c>
      <c r="P2" t="s">
        <v>10</v>
      </c>
      <c r="Q2" t="s">
        <v>12</v>
      </c>
      <c r="X2" t="s">
        <v>479</v>
      </c>
      <c r="Y2" s="57" t="s">
        <v>480</v>
      </c>
      <c r="AH2" t="s">
        <v>479</v>
      </c>
    </row>
    <row r="3" spans="1:34">
      <c r="A3" t="s">
        <v>4</v>
      </c>
      <c r="B3" t="str">
        <f>'Recipe Matrix'!B4</f>
        <v>1 Pet Egg</v>
      </c>
      <c r="C3" t="str">
        <f>'Recipe Matrix'!C4</f>
        <v>Power</v>
      </c>
      <c r="D3" t="str">
        <f>'Recipe Matrix'!D4</f>
        <v>Spirit</v>
      </c>
      <c r="E3" t="str">
        <f>'Recipe Matrix'!E4</f>
        <v>Event Equipment</v>
      </c>
      <c r="F3" t="str">
        <f>'Recipe Matrix'!F4</f>
        <v>18 Currency</v>
      </c>
      <c r="G3" t="str">
        <f>'Recipe Matrix'!G4</f>
        <v>Egg</v>
      </c>
      <c r="H3" t="str">
        <f>'Recipe Matrix'!H4</f>
        <v>1 Skill Point</v>
      </c>
      <c r="I3" t="str">
        <f>'Recipe Matrix'!I4</f>
        <v>32 Currency</v>
      </c>
      <c r="J3" t="str">
        <f>'Recipe Matrix'!J4</f>
        <v>32 Currency</v>
      </c>
      <c r="K3" t="str">
        <f>'Recipe Matrix'!K4</f>
        <v>20 Raid Cards</v>
      </c>
      <c r="L3" t="str">
        <f>'Recipe Matrix'!L4</f>
        <v>2 Skill Points</v>
      </c>
      <c r="M3" t="str">
        <f>'Recipe Matrix'!M4</f>
        <v>4 Hero Weapons</v>
      </c>
      <c r="N3" t="str">
        <f>'Recipe Matrix'!N4</f>
        <v>116 Currency</v>
      </c>
      <c r="O3" t="str">
        <f>'Recipe Matrix'!O4</f>
        <v>1 Clan Scroll</v>
      </c>
      <c r="P3" t="str">
        <f>'Recipe Matrix'!P4</f>
        <v>116 Currency</v>
      </c>
      <c r="Q3" t="str">
        <f>'Recipe Matrix'!Q4</f>
        <v>222 Currency</v>
      </c>
      <c r="S3" t="str" cm="1">
        <f t="array" ref="S3:S89">_xlfn.UNIQUE(_xlfn.TOCOL(B3:Q18))</f>
        <v>1 Pet Egg</v>
      </c>
      <c r="U3" t="str">
        <f>IF(ISNUMBER(1*LEFT(S3, 1)), RIGHT(S3,LEN(S3)-SEARCH(" ",S3)),S3)</f>
        <v>Pet Egg</v>
      </c>
      <c r="V3" t="b">
        <f>ISNUMBER(MATCH(U3,$A$3:$A$18,0))</f>
        <v>0</v>
      </c>
      <c r="X3" t="str" cm="1">
        <f t="array" ref="X3:X28">_xlfn._xlws.SORT(_xlfn.UNIQUE(_xlfn._xlws.FILTER(U3:U127,V3:V127=FALSE)),1,-1)</f>
        <v>Wildcards</v>
      </c>
      <c r="Y3" t="str">
        <f>X3</f>
        <v>Wildcards</v>
      </c>
      <c r="AC3" t="str" cm="1">
        <f t="array" ref="AC3:AC82">_xlfn.UNIQUE(_xlfn.TOCOL(B22:Q37))</f>
        <v>1 Pet Eggs</v>
      </c>
      <c r="AE3" t="str">
        <f>IF(ISNUMBER(1*LEFT(AC3, 1)), RIGHT(AC3,LEN(AC3)-SEARCH(" ",AC3)),AC3)</f>
        <v>Pet Eggs</v>
      </c>
      <c r="AF3" t="b">
        <f>ISNUMBER(MATCH(AE3,$A$3:$A$18,0))</f>
        <v>0</v>
      </c>
      <c r="AH3" cm="1">
        <f t="array" ref="AH3:AH16">_xlfn._xlws.SORT(_xlfn.UNIQUE(_xlfn._xlws.FILTER(AE3:AE127,AF3:AF127=FALSE)))</f>
        <v>0</v>
      </c>
    </row>
    <row r="4" spans="1:34">
      <c r="A4" t="s">
        <v>6</v>
      </c>
      <c r="B4" t="str">
        <f>'Recipe Matrix'!B5</f>
        <v>Power</v>
      </c>
      <c r="C4" t="str">
        <f>'Recipe Matrix'!C5</f>
        <v>12 Currency</v>
      </c>
      <c r="D4" t="str">
        <f>'Recipe Matrix'!D5</f>
        <v>Feather</v>
      </c>
      <c r="E4" t="str">
        <f>'Recipe Matrix'!E5</f>
        <v>18 Currency</v>
      </c>
      <c r="F4" t="str">
        <f>'Recipe Matrix'!F5</f>
        <v>1 Perk</v>
      </c>
      <c r="G4" t="str">
        <f>'Recipe Matrix'!G5</f>
        <v>Event Equipment</v>
      </c>
      <c r="H4" t="str">
        <f>'Recipe Matrix'!H5</f>
        <v>10 Raid Cards</v>
      </c>
      <c r="I4" t="str">
        <f>'Recipe Matrix'!I5</f>
        <v>4 Crafting Shards</v>
      </c>
      <c r="J4" t="str">
        <f>'Recipe Matrix'!J5</f>
        <v>2 Perks</v>
      </c>
      <c r="K4" t="str">
        <f>'Recipe Matrix'!K5</f>
        <v>60 Currency</v>
      </c>
      <c r="L4" t="str">
        <f>'Recipe Matrix'!L5</f>
        <v>20 Raid Cards</v>
      </c>
      <c r="M4" t="str">
        <f>'Recipe Matrix'!M5</f>
        <v>3 Perks</v>
      </c>
      <c r="N4" t="str">
        <f>'Recipe Matrix'!N5</f>
        <v>116 Currency</v>
      </c>
      <c r="O4" t="str">
        <f>'Recipe Matrix'!O5</f>
        <v>116 Currency</v>
      </c>
      <c r="P4" t="str">
        <f>'Recipe Matrix'!P5</f>
        <v>116 Currency</v>
      </c>
      <c r="Q4" t="str">
        <f>'Recipe Matrix'!Q5</f>
        <v>3 Clan Scrolls</v>
      </c>
      <c r="S4" t="str">
        <v>Power</v>
      </c>
      <c r="U4" t="str">
        <f t="shared" ref="U4:U67" si="0">IF(ISNUMBER(1*LEFT(S4, 1)), RIGHT(S4,LEN(S4)-SEARCH(" ",S4)),S4)</f>
        <v>Power</v>
      </c>
      <c r="V4" t="b">
        <f t="shared" ref="V4:V67" si="1">ISNUMBER(MATCH(U4,$A$3:$A$18,0))</f>
        <v>1</v>
      </c>
      <c r="X4" t="str">
        <v>Skill Points</v>
      </c>
      <c r="Y4" t="s">
        <v>483</v>
      </c>
      <c r="AC4" t="str">
        <v>Power</v>
      </c>
      <c r="AE4" t="str">
        <f t="shared" ref="AE4:AE67" si="2">IF(ISNUMBER(1*LEFT(AC4, 1)), RIGHT(AC4,LEN(AC4)-SEARCH(" ",AC4)),AC4)</f>
        <v>Power</v>
      </c>
      <c r="AF4" t="b">
        <f t="shared" ref="AF4:AF67" si="3">ISNUMBER(MATCH(AE4,$A$3:$A$18,0))</f>
        <v>1</v>
      </c>
      <c r="AH4" t="str">
        <v>Clan Scrolls</v>
      </c>
    </row>
    <row r="5" spans="1:34">
      <c r="A5" t="s">
        <v>8</v>
      </c>
      <c r="B5" t="str">
        <f>'Recipe Matrix'!B6</f>
        <v>Spirit</v>
      </c>
      <c r="C5" t="str">
        <f>'Recipe Matrix'!C6</f>
        <v>Feather</v>
      </c>
      <c r="D5" t="str">
        <f>'Recipe Matrix'!D6</f>
        <v>12 Currency</v>
      </c>
      <c r="E5" t="str">
        <f>'Recipe Matrix'!E6</f>
        <v>6 Raid Cards</v>
      </c>
      <c r="F5" t="str">
        <f>'Recipe Matrix'!F6</f>
        <v>1 Rare Equipment</v>
      </c>
      <c r="G5" t="str">
        <f>'Recipe Matrix'!G6</f>
        <v>3 Pet Eggs</v>
      </c>
      <c r="H5" t="str">
        <f>'Recipe Matrix'!H6</f>
        <v>10 Raid Cards</v>
      </c>
      <c r="I5" t="str">
        <f>'Recipe Matrix'!I6</f>
        <v>4 Crafting Shards</v>
      </c>
      <c r="J5" t="str">
        <f>'Recipe Matrix'!J6</f>
        <v>Event Equipment (Lab Coat)</v>
      </c>
      <c r="K5" t="str">
        <f>'Recipe Matrix'!K6</f>
        <v>60 Currency</v>
      </c>
      <c r="L5" t="str">
        <f>'Recipe Matrix'!L6</f>
        <v>2 Skill Points</v>
      </c>
      <c r="M5" t="str">
        <f>'Recipe Matrix'!M6</f>
        <v>60 Currency</v>
      </c>
      <c r="N5" t="str">
        <f>'Recipe Matrix'!N6</f>
        <v>116 currency</v>
      </c>
      <c r="O5" t="str">
        <f>'Recipe Matrix'!O6</f>
        <v>116 Currency</v>
      </c>
      <c r="P5" t="str">
        <f>'Recipe Matrix'!P6</f>
        <v>116 Currency</v>
      </c>
      <c r="Q5" t="str">
        <f>'Recipe Matrix'!Q6</f>
        <v>232 Currency</v>
      </c>
      <c r="S5" t="str">
        <v>Spirit</v>
      </c>
      <c r="U5" t="str">
        <f t="shared" si="0"/>
        <v>Spirit</v>
      </c>
      <c r="V5" t="b">
        <f t="shared" si="1"/>
        <v>1</v>
      </c>
      <c r="X5" t="str">
        <v>Skill Point</v>
      </c>
      <c r="Y5" t="s">
        <v>484</v>
      </c>
      <c r="AC5" t="str">
        <v>Spirit</v>
      </c>
      <c r="AE5" t="str">
        <f t="shared" si="2"/>
        <v>Spirit</v>
      </c>
      <c r="AF5" t="b">
        <f t="shared" si="3"/>
        <v>1</v>
      </c>
      <c r="AH5" t="str">
        <v>Crafting Shards</v>
      </c>
    </row>
    <row r="6" spans="1:34">
      <c r="A6" t="s">
        <v>11</v>
      </c>
      <c r="B6" t="str">
        <f>'Recipe Matrix'!B7</f>
        <v>Event Equipment</v>
      </c>
      <c r="C6" t="str">
        <f>'Recipe Matrix'!C7</f>
        <v>18 Currency</v>
      </c>
      <c r="D6" t="str">
        <f>'Recipe Matrix'!D7</f>
        <v>6 Raid Cards</v>
      </c>
      <c r="E6" t="str">
        <f>'Recipe Matrix'!E7</f>
        <v>2 Rare Equipment</v>
      </c>
      <c r="F6" t="str">
        <f>'Recipe Matrix'!F7</f>
        <v>25 Currency</v>
      </c>
      <c r="G6" t="str">
        <f>'Recipe Matrix'!G7</f>
        <v>Pepper</v>
      </c>
      <c r="H6" t="str">
        <f>'Recipe Matrix'!H7</f>
        <v>2 Hero Weapons</v>
      </c>
      <c r="I6" t="str">
        <f>'Recipe Matrix'!I7</f>
        <v>12 Raid Cards</v>
      </c>
      <c r="J6" t="str">
        <f>'Recipe Matrix'!J7</f>
        <v>3 Rare Equipment</v>
      </c>
      <c r="K6" t="str">
        <f>'Recipe Matrix'!K7</f>
        <v>9 Crafting Shards</v>
      </c>
      <c r="L6" t="str">
        <f>'Recipe Matrix'!L7</f>
        <v>16 Wildcards</v>
      </c>
      <c r="M6" t="str">
        <f>'Recipe Matrix'!M7</f>
        <v>66 Currency</v>
      </c>
      <c r="N6" t="str">
        <f>'Recipe Matrix'!N7</f>
        <v>122 Currency</v>
      </c>
      <c r="O6" t="str">
        <f>'Recipe Matrix'!O7</f>
        <v>122 Currency</v>
      </c>
      <c r="P6" t="str">
        <f>'Recipe Matrix'!P7</f>
        <v>12 Rare Equipment</v>
      </c>
      <c r="Q6" t="str">
        <f>'Recipe Matrix'!Q7</f>
        <v>3 Clan Scrolls</v>
      </c>
      <c r="S6" t="str">
        <v>Event Equipment</v>
      </c>
      <c r="U6" t="str">
        <f t="shared" si="0"/>
        <v>Event Equipment</v>
      </c>
      <c r="V6" t="b">
        <f t="shared" si="1"/>
        <v>0</v>
      </c>
      <c r="X6" t="str">
        <v>Rare Equipment</v>
      </c>
      <c r="Y6" t="s">
        <v>488</v>
      </c>
      <c r="AC6" t="str">
        <v xml:space="preserve">Event Equipment </v>
      </c>
      <c r="AE6" t="str">
        <f t="shared" si="2"/>
        <v xml:space="preserve">Event Equipment </v>
      </c>
      <c r="AF6" t="b">
        <f t="shared" si="3"/>
        <v>0</v>
      </c>
      <c r="AH6" t="str">
        <v>Currency</v>
      </c>
    </row>
    <row r="7" spans="1:34">
      <c r="A7" t="s">
        <v>13</v>
      </c>
      <c r="B7" t="str">
        <f>'Recipe Matrix'!B8</f>
        <v>18 Currency</v>
      </c>
      <c r="C7" t="str">
        <f>'Recipe Matrix'!C8</f>
        <v>1 Perk</v>
      </c>
      <c r="D7" t="str">
        <f>'Recipe Matrix'!D8</f>
        <v>1 Rare Equipment</v>
      </c>
      <c r="E7" t="str">
        <f>'Recipe Matrix'!E8</f>
        <v>25 Currency</v>
      </c>
      <c r="F7" t="str">
        <f>'Recipe Matrix'!F8</f>
        <v>25 Currency</v>
      </c>
      <c r="G7" t="str">
        <f>'Recipe Matrix'!G8</f>
        <v>Mushroom</v>
      </c>
      <c r="H7" t="str">
        <f>'Recipe Matrix'!H8</f>
        <v>38 Currency</v>
      </c>
      <c r="I7" t="str">
        <f>'Recipe Matrix'!I8</f>
        <v>38 Currency</v>
      </c>
      <c r="J7" t="str">
        <f>'Recipe Matrix'!J8</f>
        <v xml:space="preserve">Event Equipment </v>
      </c>
      <c r="K7" t="str">
        <f>'Recipe Matrix'!K8</f>
        <v>66 Currency</v>
      </c>
      <c r="L7" t="str">
        <f>'Recipe Matrix'!L8</f>
        <v>2 Skill Points</v>
      </c>
      <c r="M7" t="str">
        <f>'Recipe Matrix'!M8</f>
        <v>22 Raid Cards</v>
      </c>
      <c r="N7" t="str">
        <f>'Recipe Matrix'!N8</f>
        <v>122 Currency</v>
      </c>
      <c r="O7" t="str">
        <f>'Recipe Matrix'!O8</f>
        <v>Event Equipment</v>
      </c>
      <c r="P7" t="str">
        <f>'Recipe Matrix'!P8</f>
        <v>8 Hero Weapons</v>
      </c>
      <c r="Q7" t="str">
        <f>'Recipe Matrix'!Q8</f>
        <v>238 Currency</v>
      </c>
      <c r="S7" t="str">
        <v>18 Currency</v>
      </c>
      <c r="U7" t="str">
        <f t="shared" si="0"/>
        <v>Currency</v>
      </c>
      <c r="V7" t="b">
        <f t="shared" si="1"/>
        <v>0</v>
      </c>
      <c r="X7" t="str">
        <v>Raid Cards</v>
      </c>
      <c r="Y7" t="s">
        <v>502</v>
      </c>
      <c r="AC7" t="str">
        <v>18 Currency</v>
      </c>
      <c r="AE7" t="str">
        <f t="shared" si="2"/>
        <v>Currency</v>
      </c>
      <c r="AF7" t="b">
        <f t="shared" si="3"/>
        <v>0</v>
      </c>
      <c r="AH7" t="str">
        <v xml:space="preserve">Event Equipment </v>
      </c>
    </row>
    <row r="8" spans="1:34">
      <c r="A8" t="s">
        <v>20</v>
      </c>
      <c r="B8" t="str">
        <f>'Recipe Matrix'!B9</f>
        <v>Egg</v>
      </c>
      <c r="C8" t="str">
        <f>'Recipe Matrix'!C9</f>
        <v>Event Equipment</v>
      </c>
      <c r="D8" t="str">
        <f>'Recipe Matrix'!D9</f>
        <v>3 Pet Eggs</v>
      </c>
      <c r="E8" t="str">
        <f>'Recipe Matrix'!E9</f>
        <v>Pepper</v>
      </c>
      <c r="F8" t="str">
        <f>'Recipe Matrix'!F9</f>
        <v>Mushroom</v>
      </c>
      <c r="G8" t="str">
        <f>'Recipe Matrix'!G9</f>
        <v>25 Currency</v>
      </c>
      <c r="H8" t="str">
        <f>'Recipe Matrix'!H9</f>
        <v>6 Pet Eggs</v>
      </c>
      <c r="I8" t="str">
        <f>'Recipe Matrix'!I9</f>
        <v>12 Raid Cards</v>
      </c>
      <c r="J8" t="str">
        <f>'Recipe Matrix'!J9</f>
        <v>Sand</v>
      </c>
      <c r="K8" t="str">
        <f>'Recipe Matrix'!K9</f>
        <v>66 Currency</v>
      </c>
      <c r="L8" t="str">
        <f>'Recipe Matrix'!L9</f>
        <v>22 Raid cards</v>
      </c>
      <c r="M8" t="str">
        <f>'Recipe Matrix'!M9</f>
        <v>66 Currency</v>
      </c>
      <c r="N8" t="str">
        <f>'Recipe Matrix'!N9</f>
        <v>122 Currency</v>
      </c>
      <c r="O8" t="str">
        <f>'Recipe Matrix'!O9</f>
        <v>122 Currency</v>
      </c>
      <c r="P8" t="str">
        <f>'Recipe Matrix'!P9</f>
        <v>40 Raid Cards</v>
      </c>
      <c r="Q8" t="str">
        <f>'Recipe Matrix'!Q9</f>
        <v>39 Pet Eggs</v>
      </c>
      <c r="S8" t="str">
        <v>Egg</v>
      </c>
      <c r="U8" t="str">
        <f t="shared" si="0"/>
        <v>Egg</v>
      </c>
      <c r="V8" t="b">
        <f t="shared" si="1"/>
        <v>1</v>
      </c>
      <c r="X8" t="str">
        <v>Pet Eggs</v>
      </c>
      <c r="Y8" s="57" t="s">
        <v>511</v>
      </c>
      <c r="AC8" t="str">
        <v>Egg</v>
      </c>
      <c r="AE8" t="str">
        <f t="shared" si="2"/>
        <v>Egg</v>
      </c>
      <c r="AF8" t="b">
        <f t="shared" si="3"/>
        <v>1</v>
      </c>
      <c r="AH8" t="str">
        <v>Fortune Scrolls</v>
      </c>
    </row>
    <row r="9" spans="1:34">
      <c r="A9" t="s">
        <v>96</v>
      </c>
      <c r="B9" t="str">
        <f>'Recipe Matrix'!B10</f>
        <v>1 Skill Point</v>
      </c>
      <c r="C9" t="str">
        <f>'Recipe Matrix'!C10</f>
        <v>10 Raid Cards</v>
      </c>
      <c r="D9" t="str">
        <f>'Recipe Matrix'!D10</f>
        <v>10 Raid Cards</v>
      </c>
      <c r="E9" t="str">
        <f>'Recipe Matrix'!E10</f>
        <v>2 Hero Weapons</v>
      </c>
      <c r="F9" t="str">
        <f>'Recipe Matrix'!F10</f>
        <v>38 Currency</v>
      </c>
      <c r="G9" t="str">
        <f>'Recipe Matrix'!G10</f>
        <v>6 Pet Eggs</v>
      </c>
      <c r="H9" t="str">
        <f>'Recipe Matrix'!H10</f>
        <v>52 Currency</v>
      </c>
      <c r="I9" t="str">
        <f>'Recipe Matrix'!I10</f>
        <v>Legendary Equip (Shadowgold Armor)</v>
      </c>
      <c r="J9" t="str">
        <f>'Recipe Matrix'!J10</f>
        <v>Beetle</v>
      </c>
      <c r="K9" t="str">
        <f>'Recipe Matrix'!K10</f>
        <v>13 Pet Eggs</v>
      </c>
      <c r="L9" t="str">
        <f>'Recipe Matrix'!L10</f>
        <v>80 Currency</v>
      </c>
      <c r="M9" t="str">
        <f>'Recipe Matrix'!M10</f>
        <v>26 Raid Cards</v>
      </c>
      <c r="N9" t="str">
        <f>'Recipe Matrix'!N10</f>
        <v>136 Currency</v>
      </c>
      <c r="O9" t="str">
        <f>'Recipe Matrix'!O10</f>
        <v>136 Currency</v>
      </c>
      <c r="P9" t="str">
        <f>'Recipe Matrix'!P10</f>
        <v>45 Raid Cards</v>
      </c>
      <c r="Q9" t="str">
        <f>'Recipe Matrix'!Q10</f>
        <v>252 Currency</v>
      </c>
      <c r="S9" t="str">
        <v>1 Skill Point</v>
      </c>
      <c r="U9" t="str">
        <f t="shared" si="0"/>
        <v>Skill Point</v>
      </c>
      <c r="V9" t="b">
        <f t="shared" si="1"/>
        <v>0</v>
      </c>
      <c r="X9" t="str">
        <v>Pet Egg</v>
      </c>
      <c r="Y9" t="s">
        <v>503</v>
      </c>
      <c r="AC9" t="str">
        <v>1 Skill Points</v>
      </c>
      <c r="AE9" t="str">
        <f t="shared" si="2"/>
        <v>Skill Points</v>
      </c>
      <c r="AF9" t="b">
        <f t="shared" si="3"/>
        <v>0</v>
      </c>
      <c r="AH9" t="str">
        <v>Fortune Weapons</v>
      </c>
    </row>
    <row r="10" spans="1:34">
      <c r="A10" t="s">
        <v>17</v>
      </c>
      <c r="B10" t="str">
        <f>'Recipe Matrix'!B11</f>
        <v>32 Currency</v>
      </c>
      <c r="C10" t="str">
        <f>'Recipe Matrix'!C11</f>
        <v>4 Crafting Shards</v>
      </c>
      <c r="D10" t="str">
        <f>'Recipe Matrix'!D11</f>
        <v>4 Crafting Shards</v>
      </c>
      <c r="E10" t="str">
        <f>'Recipe Matrix'!E11</f>
        <v>12 Raid Cards</v>
      </c>
      <c r="F10" t="str">
        <f>'Recipe Matrix'!F11</f>
        <v>38 Currency</v>
      </c>
      <c r="G10" t="str">
        <f>'Recipe Matrix'!G11</f>
        <v>12 Raid Cards</v>
      </c>
      <c r="H10" t="str">
        <f>'Recipe Matrix'!H11</f>
        <v>Legendary Equip (Shadowgold Armor)</v>
      </c>
      <c r="I10" t="str">
        <f>'Recipe Matrix'!I11</f>
        <v>52 Currency</v>
      </c>
      <c r="J10" t="str">
        <f>'Recipe Matrix'!J11</f>
        <v>Lightning</v>
      </c>
      <c r="K10" t="str">
        <f>'Recipe Matrix'!K11</f>
        <v>13 Pet Eggs</v>
      </c>
      <c r="L10" t="str">
        <f>'Recipe Matrix'!L11</f>
        <v>Legendary Equipment (Shadowgold Goblet)</v>
      </c>
      <c r="M10" t="str">
        <f>'Recipe Matrix'!M11</f>
        <v>13 Pet Eggs</v>
      </c>
      <c r="N10" t="str">
        <f>'Recipe Matrix'!N11</f>
        <v>136 Currency</v>
      </c>
      <c r="O10" t="str">
        <f>'Recipe Matrix'!O11</f>
        <v>22 Pet Eggs</v>
      </c>
      <c r="P10" t="str">
        <f>'Recipe Matrix'!P11</f>
        <v>19 Crafting Shards</v>
      </c>
      <c r="Q10" t="str">
        <f>'Recipe Matrix'!Q11</f>
        <v>3 Fortune Scrolls</v>
      </c>
      <c r="S10" t="str">
        <v>32 Currency</v>
      </c>
      <c r="U10" t="str">
        <f t="shared" si="0"/>
        <v>Currency</v>
      </c>
      <c r="V10" t="b">
        <f t="shared" si="1"/>
        <v>0</v>
      </c>
      <c r="X10" t="str">
        <v>Perks</v>
      </c>
      <c r="Y10" t="s">
        <v>481</v>
      </c>
      <c r="AC10" t="str">
        <v>32 Currency</v>
      </c>
      <c r="AE10" t="str">
        <f t="shared" si="2"/>
        <v>Currency</v>
      </c>
      <c r="AF10" t="b">
        <f t="shared" si="3"/>
        <v>0</v>
      </c>
      <c r="AH10" t="str">
        <v>Hero Weapons</v>
      </c>
    </row>
    <row r="11" spans="1:34">
      <c r="A11" t="s">
        <v>21</v>
      </c>
      <c r="B11" t="str">
        <f>'Recipe Matrix'!B12</f>
        <v>32 Currency</v>
      </c>
      <c r="C11" t="str">
        <f>'Recipe Matrix'!C12</f>
        <v>2 Perks</v>
      </c>
      <c r="D11" t="str">
        <f>'Recipe Matrix'!D12</f>
        <v>Event Equipment (Lab Coat)</v>
      </c>
      <c r="E11" t="str">
        <f>'Recipe Matrix'!E12</f>
        <v>3 Rare Equipment</v>
      </c>
      <c r="F11" t="str">
        <f>'Recipe Matrix'!F12</f>
        <v>Event Equipment (Master of Elements)</v>
      </c>
      <c r="G11" t="str">
        <f>'Recipe Matrix'!G12</f>
        <v>Sand</v>
      </c>
      <c r="H11" t="str">
        <f>'Recipe Matrix'!H12</f>
        <v>Beetle</v>
      </c>
      <c r="I11" t="str">
        <f>'Recipe Matrix'!I12</f>
        <v>Lightning</v>
      </c>
      <c r="J11" t="str">
        <f>'Recipe Matrix'!J12</f>
        <v>52 Currency</v>
      </c>
      <c r="K11" t="str">
        <f>'Recipe Matrix'!K12</f>
        <v>3 Skill Points</v>
      </c>
      <c r="L11" t="str">
        <f>'Recipe Matrix'!L12</f>
        <v>Essence</v>
      </c>
      <c r="M11" t="str">
        <f>'Recipe Matrix'!M12</f>
        <v>11 Crafting Shards</v>
      </c>
      <c r="N11" t="str">
        <f>'Recipe Matrix'!N12</f>
        <v>19 Crafting Shards</v>
      </c>
      <c r="O11" t="str">
        <f>'Recipe Matrix'!O12</f>
        <v>19 Crafting Shards</v>
      </c>
      <c r="P11" t="str">
        <f>'Recipe Matrix'!P12</f>
        <v>19 Crafting Shards</v>
      </c>
      <c r="Q11" t="str">
        <f>'Recipe Matrix'!Q12</f>
        <v>252 Currency</v>
      </c>
      <c r="S11" t="str">
        <v>20 Raid Cards</v>
      </c>
      <c r="U11" t="str">
        <f t="shared" si="0"/>
        <v>Raid Cards</v>
      </c>
      <c r="V11" t="b">
        <f t="shared" si="1"/>
        <v>0</v>
      </c>
      <c r="X11" t="str">
        <v>Perk</v>
      </c>
      <c r="Y11" t="s">
        <v>482</v>
      </c>
      <c r="AC11" t="str">
        <v>2 Raid Cards</v>
      </c>
      <c r="AE11" t="str">
        <f t="shared" si="2"/>
        <v>Raid Cards</v>
      </c>
      <c r="AF11" t="b">
        <f t="shared" si="3"/>
        <v>0</v>
      </c>
      <c r="AH11" t="str">
        <v>Legendary Equipment</v>
      </c>
    </row>
    <row r="12" spans="1:34">
      <c r="A12" t="s">
        <v>1</v>
      </c>
      <c r="B12" t="str">
        <f>'Recipe Matrix'!B13</f>
        <v>20 Raid Cards</v>
      </c>
      <c r="C12" t="str">
        <f>'Recipe Matrix'!C13</f>
        <v>60 Currency</v>
      </c>
      <c r="D12" t="str">
        <f>'Recipe Matrix'!D13</f>
        <v>60 Currency</v>
      </c>
      <c r="E12" t="str">
        <f>'Recipe Matrix'!E13</f>
        <v>9 Crafting Shards</v>
      </c>
      <c r="F12" t="str">
        <f>'Recipe Matrix'!F13</f>
        <v>66 Currency</v>
      </c>
      <c r="G12" t="str">
        <f>'Recipe Matrix'!G13</f>
        <v>66 Currency</v>
      </c>
      <c r="H12" t="str">
        <f>'Recipe Matrix'!H13</f>
        <v>13 Pet Eggs</v>
      </c>
      <c r="I12" t="str">
        <f>'Recipe Matrix'!I13</f>
        <v>13 Pet Eggs</v>
      </c>
      <c r="J12" t="str">
        <f>'Recipe Matrix'!J13</f>
        <v>3 Skill Points</v>
      </c>
      <c r="K12" t="str">
        <f>'Recipe Matrix'!K13</f>
        <v>108 Currency</v>
      </c>
      <c r="L12" t="str">
        <f>'Recipe Matrix'!L13</f>
        <v>108 Currency</v>
      </c>
      <c r="M12" t="str">
        <f>'Recipe Matrix'!M13</f>
        <v>Flame</v>
      </c>
      <c r="N12" t="str">
        <f>'Recipe Matrix'!N13</f>
        <v>8 Fortune Weapons</v>
      </c>
      <c r="O12" t="str">
        <f>'Recipe Matrix'!O13</f>
        <v>54 Raid Cards</v>
      </c>
      <c r="P12" t="str">
        <f>'Recipe Matrix'!P13</f>
        <v>54 Raid Cards</v>
      </c>
      <c r="Q12" t="str">
        <f>'Recipe Matrix'!Q13</f>
        <v>3 Fortune Scrolls</v>
      </c>
      <c r="S12" t="str">
        <v>2 Skill Points</v>
      </c>
      <c r="U12" t="str">
        <f t="shared" si="0"/>
        <v>Skill Points</v>
      </c>
      <c r="V12" t="b">
        <f t="shared" si="1"/>
        <v>0</v>
      </c>
      <c r="X12" t="str">
        <v>Legendary Insult</v>
      </c>
      <c r="Y12" t="s">
        <v>425</v>
      </c>
      <c r="AC12" t="str">
        <v>2 Skill Points</v>
      </c>
      <c r="AE12" t="str">
        <f t="shared" si="2"/>
        <v>Skill Points</v>
      </c>
      <c r="AF12" t="b">
        <f t="shared" si="3"/>
        <v>0</v>
      </c>
      <c r="AH12" t="str">
        <v>Perks</v>
      </c>
    </row>
    <row r="13" spans="1:34">
      <c r="A13" t="s">
        <v>3</v>
      </c>
      <c r="B13" t="str">
        <f>'Recipe Matrix'!B14</f>
        <v>2 Skill Points</v>
      </c>
      <c r="C13" t="str">
        <f>'Recipe Matrix'!C14</f>
        <v>20 Raid Cards</v>
      </c>
      <c r="D13" t="str">
        <f>'Recipe Matrix'!D14</f>
        <v>2 Skill Points</v>
      </c>
      <c r="E13" t="str">
        <f>'Recipe Matrix'!E14</f>
        <v>16 Wildcards</v>
      </c>
      <c r="F13" t="str">
        <f>'Recipe Matrix'!F14</f>
        <v>2 Skill Points</v>
      </c>
      <c r="G13" t="str">
        <f>'Recipe Matrix'!G14</f>
        <v>22 Raid cards</v>
      </c>
      <c r="H13" t="str">
        <f>'Recipe Matrix'!H14</f>
        <v>80 Currency</v>
      </c>
      <c r="I13" t="str">
        <f>'Recipe Matrix'!I14</f>
        <v>Legendary Equipment</v>
      </c>
      <c r="J13" t="str">
        <f>'Recipe Matrix'!J14</f>
        <v>Essence</v>
      </c>
      <c r="K13" t="str">
        <f>'Recipe Matrix'!K14</f>
        <v>108 Currency</v>
      </c>
      <c r="L13" t="str">
        <f>'Recipe Matrix'!L14</f>
        <v>Legendary Equipment (Shackles of Greed)</v>
      </c>
      <c r="M13" t="str">
        <f>'Recipe Matrix'!M14</f>
        <v>Scale</v>
      </c>
      <c r="N13" t="str">
        <f>'Recipe Matrix'!N14</f>
        <v>164 Currency</v>
      </c>
      <c r="O13" t="str">
        <f>'Recipe Matrix'!O14</f>
        <v>164 Currency</v>
      </c>
      <c r="P13" t="str">
        <f>'Recipe Matrix'!P14</f>
        <v>41 Wildcards</v>
      </c>
      <c r="Q13" t="str">
        <f>'Recipe Matrix'!Q14</f>
        <v>280 Currency</v>
      </c>
      <c r="S13" t="str">
        <v>4 Hero Weapons</v>
      </c>
      <c r="U13" t="str">
        <f t="shared" si="0"/>
        <v>Hero Weapons</v>
      </c>
      <c r="V13" t="b">
        <f t="shared" si="1"/>
        <v>0</v>
      </c>
      <c r="X13" t="str">
        <v>Legendary Equipment (Shadowgold Goblet)</v>
      </c>
      <c r="Y13" s="57" t="s">
        <v>425</v>
      </c>
      <c r="AC13" t="str">
        <v>4 Hero Weapons</v>
      </c>
      <c r="AE13" t="str">
        <f t="shared" si="2"/>
        <v>Hero Weapons</v>
      </c>
      <c r="AF13" t="b">
        <f t="shared" si="3"/>
        <v>0</v>
      </c>
      <c r="AH13" t="str">
        <v>Pet Eggs</v>
      </c>
    </row>
    <row r="14" spans="1:34">
      <c r="A14" t="s">
        <v>5</v>
      </c>
      <c r="B14" t="str">
        <f>'Recipe Matrix'!B15</f>
        <v>4 Hero Weapons</v>
      </c>
      <c r="C14" t="str">
        <f>'Recipe Matrix'!C15</f>
        <v>3 Perks</v>
      </c>
      <c r="D14" t="str">
        <f>'Recipe Matrix'!D15</f>
        <v>60 Currency</v>
      </c>
      <c r="E14" t="str">
        <f>'Recipe Matrix'!E15</f>
        <v>66 Currency</v>
      </c>
      <c r="F14" t="str">
        <f>'Recipe Matrix'!F15</f>
        <v>22 Raid Cards</v>
      </c>
      <c r="G14" t="str">
        <f>'Recipe Matrix'!G15</f>
        <v>66 Currency</v>
      </c>
      <c r="H14" t="str">
        <f>'Recipe Matrix'!H15</f>
        <v>26 Raid Cards</v>
      </c>
      <c r="I14" t="str">
        <f>'Recipe Matrix'!I15</f>
        <v>13 Pet Eggs</v>
      </c>
      <c r="J14" t="str">
        <f>'Recipe Matrix'!J15</f>
        <v>11 Crafting Shards</v>
      </c>
      <c r="K14" t="str">
        <f>'Recipe Matrix'!K15</f>
        <v>Flame</v>
      </c>
      <c r="L14" t="str">
        <f>'Recipe Matrix'!L15</f>
        <v>Scale</v>
      </c>
      <c r="M14" t="str">
        <f>'Recipe Matrix'!M15</f>
        <v>4 Skill Points</v>
      </c>
      <c r="N14" t="str">
        <f>'Recipe Matrix'!N15</f>
        <v>Legendary Equipment</v>
      </c>
      <c r="O14" t="str">
        <f>'Recipe Matrix'!O15</f>
        <v>Legendary Equipment</v>
      </c>
      <c r="P14" t="str">
        <f>'Recipe Matrix'!P15</f>
        <v>6 Skill Point</v>
      </c>
      <c r="Q14" t="str">
        <f>'Recipe Matrix'!Q15</f>
        <v>11 Skill Points</v>
      </c>
      <c r="S14" t="str">
        <v>116 Currency</v>
      </c>
      <c r="U14" t="str">
        <f t="shared" si="0"/>
        <v>Currency</v>
      </c>
      <c r="V14" t="b">
        <f t="shared" si="1"/>
        <v>0</v>
      </c>
      <c r="X14" t="str">
        <v>Legendary Equipment (Shackles of Greed)</v>
      </c>
      <c r="Y14" s="57" t="s">
        <v>425</v>
      </c>
      <c r="AC14" t="str">
        <v>116 Currency</v>
      </c>
      <c r="AE14" t="str">
        <f t="shared" si="2"/>
        <v>Currency</v>
      </c>
      <c r="AF14" t="b">
        <f t="shared" si="3"/>
        <v>0</v>
      </c>
      <c r="AH14" t="str">
        <v>Raid Cards</v>
      </c>
    </row>
    <row r="15" spans="1:34">
      <c r="A15" t="s">
        <v>7</v>
      </c>
      <c r="B15" t="str">
        <f>'Recipe Matrix'!B16</f>
        <v>116 Currency</v>
      </c>
      <c r="C15" t="str">
        <f>'Recipe Matrix'!C16</f>
        <v>116 Currency</v>
      </c>
      <c r="D15" t="str">
        <f>'Recipe Matrix'!D16</f>
        <v>116 currency</v>
      </c>
      <c r="E15" t="str">
        <f>'Recipe Matrix'!E16</f>
        <v>122 Currency</v>
      </c>
      <c r="F15" t="str">
        <f>'Recipe Matrix'!F16</f>
        <v>122 Currency</v>
      </c>
      <c r="G15" t="str">
        <f>'Recipe Matrix'!G16</f>
        <v>122 Currency</v>
      </c>
      <c r="H15" t="str">
        <f>'Recipe Matrix'!H16</f>
        <v>136 Currency</v>
      </c>
      <c r="I15" t="str">
        <f>'Recipe Matrix'!I16</f>
        <v>136 Currency</v>
      </c>
      <c r="J15" t="str">
        <f>'Recipe Matrix'!J16</f>
        <v>19 Crafting Shards</v>
      </c>
      <c r="K15" t="str">
        <f>'Recipe Matrix'!K16</f>
        <v>8 Fortune Weapons</v>
      </c>
      <c r="L15" t="str">
        <f>'Recipe Matrix'!L16</f>
        <v>164 Currency</v>
      </c>
      <c r="M15" t="str">
        <f>'Recipe Matrix'!M16</f>
        <v>Legendary Equipment</v>
      </c>
      <c r="N15" t="str">
        <f>'Recipe Matrix'!N16</f>
        <v>Shadow</v>
      </c>
      <c r="O15" t="str">
        <f>'Recipe Matrix'!O16</f>
        <v>11 Fortune Weapons</v>
      </c>
      <c r="P15" t="str">
        <f>'Recipe Matrix'!P16</f>
        <v>220 Currency</v>
      </c>
      <c r="Q15" t="str">
        <f>'Recipe Matrix'!Q16</f>
        <v>84 Wildcards</v>
      </c>
      <c r="S15" t="str">
        <v>1 Clan Scroll</v>
      </c>
      <c r="U15" t="str">
        <f t="shared" si="0"/>
        <v>Clan Scroll</v>
      </c>
      <c r="V15" t="b">
        <f t="shared" si="1"/>
        <v>0</v>
      </c>
      <c r="X15" t="str">
        <v>Legendary Equipment</v>
      </c>
      <c r="Y15" s="57" t="s">
        <v>425</v>
      </c>
      <c r="AC15" t="str">
        <v>1 Clan Scrolls</v>
      </c>
      <c r="AE15" t="str">
        <f t="shared" si="2"/>
        <v>Clan Scrolls</v>
      </c>
      <c r="AF15" t="b">
        <f t="shared" si="3"/>
        <v>0</v>
      </c>
      <c r="AH15" t="str">
        <v>Skill Points</v>
      </c>
    </row>
    <row r="16" spans="1:34">
      <c r="A16" t="s">
        <v>9</v>
      </c>
      <c r="B16" t="str">
        <f>'Recipe Matrix'!B17</f>
        <v>1 Clan Scroll</v>
      </c>
      <c r="C16" t="str">
        <f>'Recipe Matrix'!C17</f>
        <v>116 Currency</v>
      </c>
      <c r="D16" t="str">
        <f>'Recipe Matrix'!D17</f>
        <v>116 Currency</v>
      </c>
      <c r="E16" t="str">
        <f>'Recipe Matrix'!E17</f>
        <v>122 Currency</v>
      </c>
      <c r="F16" t="str">
        <f>'Recipe Matrix'!F17</f>
        <v>Event Equipment</v>
      </c>
      <c r="G16" t="str">
        <f>'Recipe Matrix'!G17</f>
        <v>122 Currency</v>
      </c>
      <c r="H16" t="str">
        <f>'Recipe Matrix'!H17</f>
        <v>136 Currency</v>
      </c>
      <c r="I16" t="str">
        <f>'Recipe Matrix'!I17</f>
        <v>22 Pet Eggs</v>
      </c>
      <c r="J16" t="str">
        <f>'Recipe Matrix'!J17</f>
        <v>19 Crafting Shards</v>
      </c>
      <c r="K16" t="str">
        <f>'Recipe Matrix'!K17</f>
        <v>54 Raid Cards</v>
      </c>
      <c r="L16" t="str">
        <f>'Recipe Matrix'!L17</f>
        <v>164 Currency</v>
      </c>
      <c r="M16" t="str">
        <f>'Recipe Matrix'!M17</f>
        <v>Legendary Equipment</v>
      </c>
      <c r="N16" t="str">
        <f>'Recipe Matrix'!N17</f>
        <v>11 Fortune Weapons</v>
      </c>
      <c r="O16" t="str">
        <f>'Recipe Matrix'!O17</f>
        <v>220 Currency</v>
      </c>
      <c r="P16" t="str">
        <f>'Recipe Matrix'!P17</f>
        <v>220 Currency</v>
      </c>
      <c r="Q16" t="str">
        <f>'Recipe Matrix'!Q17</f>
        <v>84 Wildcards</v>
      </c>
      <c r="S16" t="str">
        <v>222 Currency</v>
      </c>
      <c r="U16" t="str">
        <f t="shared" si="0"/>
        <v>Currency</v>
      </c>
      <c r="V16" t="b">
        <f t="shared" si="1"/>
        <v>0</v>
      </c>
      <c r="X16" t="str">
        <v>Legendary Equip (Shadowgold Armor)</v>
      </c>
      <c r="Y16" t="s">
        <v>425</v>
      </c>
      <c r="AC16" t="str">
        <v>222 Currency</v>
      </c>
      <c r="AE16" t="str">
        <f t="shared" si="2"/>
        <v>Currency</v>
      </c>
      <c r="AF16" t="b">
        <f t="shared" si="3"/>
        <v>0</v>
      </c>
      <c r="AH16" t="str">
        <v>Wildcards</v>
      </c>
    </row>
    <row r="17" spans="1:32">
      <c r="A17" t="s">
        <v>10</v>
      </c>
      <c r="B17" t="str">
        <f>'Recipe Matrix'!B18</f>
        <v>116 Currency</v>
      </c>
      <c r="C17" t="str">
        <f>'Recipe Matrix'!C18</f>
        <v>116 Currency</v>
      </c>
      <c r="D17" t="str">
        <f>'Recipe Matrix'!D18</f>
        <v>116 Currency</v>
      </c>
      <c r="E17" t="str">
        <f>'Recipe Matrix'!E18</f>
        <v>12 Rare Equipment</v>
      </c>
      <c r="F17" t="str">
        <f>'Recipe Matrix'!F18</f>
        <v>8 Hero Weapons</v>
      </c>
      <c r="G17" t="str">
        <f>'Recipe Matrix'!G18</f>
        <v>40 Raid Cards</v>
      </c>
      <c r="H17" t="str">
        <f>'Recipe Matrix'!H18</f>
        <v>45 Raid Cards</v>
      </c>
      <c r="I17" t="str">
        <f>'Recipe Matrix'!I18</f>
        <v>19 Crafting Shards</v>
      </c>
      <c r="J17" t="str">
        <f>'Recipe Matrix'!J18</f>
        <v>19 Crafting Shards</v>
      </c>
      <c r="K17" t="str">
        <f>'Recipe Matrix'!K18</f>
        <v>54 Raid Cards</v>
      </c>
      <c r="L17" t="str">
        <f>'Recipe Matrix'!L18</f>
        <v>41 Wildcards</v>
      </c>
      <c r="M17" t="str">
        <f>'Recipe Matrix'!M18</f>
        <v>6 Skill Point</v>
      </c>
      <c r="N17" t="str">
        <f>'Recipe Matrix'!N18</f>
        <v>220 Currency</v>
      </c>
      <c r="O17" t="str">
        <f>'Recipe Matrix'!O18</f>
        <v>220 Currency</v>
      </c>
      <c r="P17" t="str">
        <f>'Recipe Matrix'!P18</f>
        <v>2 Fortune Scrolls</v>
      </c>
      <c r="Q17" t="str">
        <f>'Recipe Matrix'!Q18</f>
        <v>336 Currency</v>
      </c>
      <c r="S17" t="str">
        <v>12 Currency</v>
      </c>
      <c r="U17" t="str">
        <f t="shared" si="0"/>
        <v>Currency</v>
      </c>
      <c r="V17" t="b">
        <f t="shared" si="1"/>
        <v>0</v>
      </c>
      <c r="X17" t="str">
        <v>Hero Weapons</v>
      </c>
      <c r="Y17" s="57" t="s">
        <v>508</v>
      </c>
      <c r="AC17" t="str">
        <v>12 Currency</v>
      </c>
      <c r="AE17" t="str">
        <f t="shared" si="2"/>
        <v>Currency</v>
      </c>
      <c r="AF17" t="b">
        <f t="shared" si="3"/>
        <v>0</v>
      </c>
    </row>
    <row r="18" spans="1:32">
      <c r="A18" t="s">
        <v>12</v>
      </c>
      <c r="B18" t="str">
        <f>'Recipe Matrix'!B19</f>
        <v>222 Currency</v>
      </c>
      <c r="C18" t="str">
        <f>'Recipe Matrix'!C19</f>
        <v>3 Clan Scrolls</v>
      </c>
      <c r="D18" t="str">
        <f>'Recipe Matrix'!D19</f>
        <v>232 Currency</v>
      </c>
      <c r="E18" t="str">
        <f>'Recipe Matrix'!E19</f>
        <v>3 Clan Scrolls</v>
      </c>
      <c r="F18" t="str">
        <f>'Recipe Matrix'!F19</f>
        <v>238 Currency</v>
      </c>
      <c r="G18" t="str">
        <f>'Recipe Matrix'!G19</f>
        <v>39 Pet Eggs</v>
      </c>
      <c r="H18" t="str">
        <f>'Recipe Matrix'!H19</f>
        <v>252 Currency</v>
      </c>
      <c r="I18" t="str">
        <f>'Recipe Matrix'!I19</f>
        <v>3 Fortune Scrolls</v>
      </c>
      <c r="J18" t="str">
        <f>'Recipe Matrix'!J19</f>
        <v>252 Currency</v>
      </c>
      <c r="K18" t="str">
        <f>'Recipe Matrix'!K19</f>
        <v>3 Fortune Scrolls</v>
      </c>
      <c r="L18" t="str">
        <f>'Recipe Matrix'!L19</f>
        <v>280 Currency</v>
      </c>
      <c r="M18" t="str">
        <f>'Recipe Matrix'!M19</f>
        <v>11 Skill Points</v>
      </c>
      <c r="N18" t="str">
        <f>'Recipe Matrix'!N19</f>
        <v>84 Wildcards</v>
      </c>
      <c r="O18" t="str">
        <f>'Recipe Matrix'!O19</f>
        <v>84 Wildcards</v>
      </c>
      <c r="P18" t="str">
        <f>'Recipe Matrix'!P19</f>
        <v>336 Currency</v>
      </c>
      <c r="Q18" t="str">
        <f>'Recipe Matrix'!Q19</f>
        <v>1 Legendary Insult</v>
      </c>
      <c r="S18" t="str">
        <v>Feather</v>
      </c>
      <c r="U18" t="str">
        <f t="shared" si="0"/>
        <v>Feather</v>
      </c>
      <c r="V18" t="b">
        <f t="shared" si="1"/>
        <v>1</v>
      </c>
      <c r="X18" t="str">
        <v>Fortune Weapons</v>
      </c>
      <c r="Y18" t="s">
        <v>509</v>
      </c>
      <c r="AC18" t="str">
        <v>Feather</v>
      </c>
      <c r="AE18" t="str">
        <f t="shared" si="2"/>
        <v>Feather</v>
      </c>
      <c r="AF18" t="b">
        <f t="shared" si="3"/>
        <v>1</v>
      </c>
    </row>
    <row r="19" spans="1:32">
      <c r="S19" t="str">
        <v>1 Perk</v>
      </c>
      <c r="U19" t="str">
        <f t="shared" si="0"/>
        <v>Perk</v>
      </c>
      <c r="V19" t="b">
        <f t="shared" si="1"/>
        <v>0</v>
      </c>
      <c r="X19" t="str">
        <v>Fortune Scrolls</v>
      </c>
      <c r="Y19" s="57" t="s">
        <v>510</v>
      </c>
      <c r="AC19" t="str">
        <v>1 Perks</v>
      </c>
      <c r="AE19" t="str">
        <f t="shared" si="2"/>
        <v>Perks</v>
      </c>
      <c r="AF19" t="b">
        <f t="shared" si="3"/>
        <v>0</v>
      </c>
    </row>
    <row r="20" spans="1:32">
      <c r="A20" s="57" t="s">
        <v>485</v>
      </c>
      <c r="S20" t="str">
        <v>10 Raid Cards</v>
      </c>
      <c r="U20" t="str">
        <f t="shared" si="0"/>
        <v>Raid Cards</v>
      </c>
      <c r="V20" t="b">
        <f t="shared" si="1"/>
        <v>0</v>
      </c>
      <c r="X20" t="str">
        <v>Event Equipment (Master of Elements)</v>
      </c>
      <c r="Y20" s="57" t="s">
        <v>488</v>
      </c>
      <c r="AC20" t="str">
        <v>1 Raid Cards</v>
      </c>
      <c r="AE20" t="str">
        <f t="shared" si="2"/>
        <v>Raid Cards</v>
      </c>
      <c r="AF20" t="b">
        <f t="shared" si="3"/>
        <v>0</v>
      </c>
    </row>
    <row r="21" spans="1:32">
      <c r="A21" t="str" cm="1">
        <f t="array" ref="A21">_xlfn.LET(
  _xlpm.txt, A2,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/>
      </c>
      <c r="B21" t="str" cm="1">
        <f t="array" ref="B21">_xlfn.LET(
  _xlpm.txt, B2,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Poison</v>
      </c>
      <c r="C21" t="str" cm="1">
        <f t="array" ref="C21">_xlfn.LET(
  _xlpm.txt, C2,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Tooth</v>
      </c>
      <c r="D21" t="str" cm="1">
        <f t="array" ref="D21">_xlfn.LET(
  _xlpm.txt, D2,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Steel</v>
      </c>
      <c r="E21" t="str" cm="1">
        <f t="array" ref="E21">_xlfn.LET(
  _xlpm.txt, E2,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F21" t="str" cm="1">
        <f t="array" ref="F21">_xlfn.LET(
  _xlpm.txt, F2,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G21" t="str" cm="1">
        <f t="array" ref="G21">_xlfn.LET(
  _xlpm.txt, G2,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Feather</v>
      </c>
      <c r="H21" t="str" cm="1">
        <f t="array" ref="H21">_xlfn.LET(
  _xlpm.txt, H2,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Egg</v>
      </c>
      <c r="I21" t="str" cm="1">
        <f t="array" ref="I21">_xlfn.LET(
  _xlpm.txt, I2,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J21" t="str" cm="1">
        <f t="array" ref="J21">_xlfn.LET(
  _xlpm.txt, J2,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Pepper</v>
      </c>
      <c r="K21" t="str" cm="1">
        <f t="array" ref="K21">_xlfn.LET(
  _xlpm.txt, K2,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Sand</v>
      </c>
      <c r="L21" t="str" cm="1">
        <f t="array" ref="L21">_xlfn.LET(
  _xlpm.txt, L2,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M21" t="str" cm="1">
        <f t="array" ref="M21">_xlfn.LET(
  _xlpm.txt, M2,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N21" t="str" cm="1">
        <f t="array" ref="N21">_xlfn.LET(
  _xlpm.txt, N2,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O21" t="str" cm="1">
        <f t="array" ref="O21">_xlfn.LET(
  _xlpm.txt, O2,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P21" t="str" cm="1">
        <f t="array" ref="P21">_xlfn.LET(
  _xlpm.txt, P2,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Q21" t="str" cm="1">
        <f t="array" ref="Q21">_xlfn.LET(
  _xlpm.txt, Q2,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Shadow</v>
      </c>
      <c r="S21" t="str">
        <v>4 Crafting Shards</v>
      </c>
      <c r="U21" t="str">
        <f t="shared" si="0"/>
        <v>Crafting Shards</v>
      </c>
      <c r="V21" t="b">
        <f t="shared" si="1"/>
        <v>0</v>
      </c>
      <c r="X21" t="str">
        <v>Event Equipment (Lab Coat)</v>
      </c>
      <c r="Y21" s="57" t="s">
        <v>488</v>
      </c>
      <c r="AC21" t="str">
        <v>4 Crafting Shards</v>
      </c>
      <c r="AE21" t="str">
        <f t="shared" si="2"/>
        <v>Crafting Shards</v>
      </c>
      <c r="AF21" t="b">
        <f t="shared" si="3"/>
        <v>0</v>
      </c>
    </row>
    <row r="22" spans="1:32">
      <c r="A22" t="str" cm="1">
        <f t="array" ref="A22">_xlfn.LET(
  _xlpm.txt, A3,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Poison</v>
      </c>
      <c r="B22" t="str" cm="1">
        <f t="array" ref="B22">_xlfn.LET(
  _xlpm.txt, B3,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Pet Eggs</v>
      </c>
      <c r="C22" t="str" cm="1">
        <f t="array" ref="C22">_xlfn.LET(
  _xlpm.txt, C3,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D22" t="str" cm="1">
        <f t="array" ref="D22">_xlfn.LET(
  _xlpm.txt, D3,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E22" t="str" cm="1">
        <f t="array" ref="E22">_xlfn.LET(
  _xlpm.txt, E3,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F22" t="str" cm="1">
        <f t="array" ref="F22">_xlfn.LET(
  _xlpm.txt, F3,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G22" t="str" cm="1">
        <f t="array" ref="G22">_xlfn.LET(
  _xlpm.txt, G3,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Egg</v>
      </c>
      <c r="H22" t="str" cm="1">
        <f t="array" ref="H22">_xlfn.LET(
  _xlpm.txt, H3,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Skill Points</v>
      </c>
      <c r="I22" t="str" cm="1">
        <f t="array" ref="I22">_xlfn.LET(
  _xlpm.txt, I3,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32 Currency</v>
      </c>
      <c r="J22" t="str" cm="1">
        <f t="array" ref="J22">_xlfn.LET(
  _xlpm.txt, J3,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32 Currency</v>
      </c>
      <c r="K22" t="str" cm="1">
        <f t="array" ref="K22">_xlfn.LET(
  _xlpm.txt, K3,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Raid Cards</v>
      </c>
      <c r="L22" t="str" cm="1">
        <f t="array" ref="L22">_xlfn.LET(
  _xlpm.txt, L3,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Skill Points</v>
      </c>
      <c r="M22" t="str" cm="1">
        <f t="array" ref="M22">_xlfn.LET(
  _xlpm.txt, M3,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Hero Weapons</v>
      </c>
      <c r="N22" t="str" cm="1">
        <f t="array" ref="N22">_xlfn.LET(
  _xlpm.txt, N3,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O22" t="str" cm="1">
        <f t="array" ref="O22">_xlfn.LET(
  _xlpm.txt, O3,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Clan Scrolls</v>
      </c>
      <c r="P22" t="str" cm="1">
        <f t="array" ref="P22">_xlfn.LET(
  _xlpm.txt, P3,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Q22" t="str" cm="1">
        <f t="array" ref="Q22">_xlfn.LET(
  _xlpm.txt, Q3,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222 Currency</v>
      </c>
      <c r="S22" t="str">
        <v>2 Perks</v>
      </c>
      <c r="U22" t="str">
        <f t="shared" si="0"/>
        <v>Perks</v>
      </c>
      <c r="V22" t="b">
        <f t="shared" si="1"/>
        <v>0</v>
      </c>
      <c r="X22" t="str">
        <v xml:space="preserve">Event Equipment </v>
      </c>
      <c r="Y22" s="57" t="s">
        <v>488</v>
      </c>
      <c r="AC22" t="str">
        <v>2 Perks</v>
      </c>
      <c r="AE22" t="str">
        <f t="shared" si="2"/>
        <v>Perks</v>
      </c>
      <c r="AF22" t="b">
        <f t="shared" si="3"/>
        <v>0</v>
      </c>
    </row>
    <row r="23" spans="1:32">
      <c r="A23" t="str" cm="1">
        <f t="array" ref="A23">_xlfn.LET(
  _xlpm.txt, A4,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Tooth</v>
      </c>
      <c r="B23" t="str" cm="1">
        <f t="array" ref="B23">_xlfn.LET(
  _xlpm.txt, B4,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C23" t="str" cm="1">
        <f t="array" ref="C23">_xlfn.LET(
  _xlpm.txt, C4,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Currency</v>
      </c>
      <c r="D23" t="str" cm="1">
        <f t="array" ref="D23">_xlfn.LET(
  _xlpm.txt, D4,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Feather</v>
      </c>
      <c r="E23" t="str" cm="1">
        <f t="array" ref="E23">_xlfn.LET(
  _xlpm.txt, E4,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F23" t="str" cm="1">
        <f t="array" ref="F23">_xlfn.LET(
  _xlpm.txt, F4,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Perks</v>
      </c>
      <c r="G23" t="str" cm="1">
        <f t="array" ref="G23">_xlfn.LET(
  _xlpm.txt, G4,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H23" t="str" cm="1">
        <f t="array" ref="H23">_xlfn.LET(
  _xlpm.txt, H4,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Raid Cards</v>
      </c>
      <c r="I23" t="str" cm="1">
        <f t="array" ref="I23">_xlfn.LET(
  _xlpm.txt, I4,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Crafting Shards</v>
      </c>
      <c r="J23" t="str" cm="1">
        <f t="array" ref="J23">_xlfn.LET(
  _xlpm.txt, J4,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Perks</v>
      </c>
      <c r="K23" t="str" cm="1">
        <f t="array" ref="K23">_xlfn.LET(
  _xlpm.txt, K4,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Currency</v>
      </c>
      <c r="L23" t="str" cm="1">
        <f t="array" ref="L23">_xlfn.LET(
  _xlpm.txt, L4,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Raid Cards</v>
      </c>
      <c r="M23" t="str" cm="1">
        <f t="array" ref="M23">_xlfn.LET(
  _xlpm.txt, M4,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Perks</v>
      </c>
      <c r="N23" t="str" cm="1">
        <f t="array" ref="N23">_xlfn.LET(
  _xlpm.txt, N4,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O23" t="str" cm="1">
        <f t="array" ref="O23">_xlfn.LET(
  _xlpm.txt, O4,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P23" t="str" cm="1">
        <f t="array" ref="P23">_xlfn.LET(
  _xlpm.txt, P4,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Q23" t="str" cm="1">
        <f t="array" ref="Q23">_xlfn.LET(
  _xlpm.txt, Q4,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Clan Scrolls</v>
      </c>
      <c r="S23" t="str">
        <v>60 Currency</v>
      </c>
      <c r="U23" t="str">
        <f t="shared" si="0"/>
        <v>Currency</v>
      </c>
      <c r="V23" t="b">
        <f t="shared" si="1"/>
        <v>0</v>
      </c>
      <c r="X23" t="str">
        <v>Event Equipment</v>
      </c>
      <c r="Y23" s="57" t="s">
        <v>501</v>
      </c>
      <c r="AC23" t="str">
        <v>6 Currency</v>
      </c>
      <c r="AE23" t="str">
        <f t="shared" si="2"/>
        <v>Currency</v>
      </c>
      <c r="AF23" t="b">
        <f t="shared" si="3"/>
        <v>0</v>
      </c>
    </row>
    <row r="24" spans="1:32">
      <c r="A24" t="str" cm="1">
        <f t="array" ref="A24">_xlfn.LET(
  _xlpm.txt, A5,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Steel</v>
      </c>
      <c r="B24" t="str" cm="1">
        <f t="array" ref="B24">_xlfn.LET(
  _xlpm.txt, B5,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C24" t="str" cm="1">
        <f t="array" ref="C24">_xlfn.LET(
  _xlpm.txt, C5,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Feather</v>
      </c>
      <c r="D24" t="str" cm="1">
        <f t="array" ref="D24">_xlfn.LET(
  _xlpm.txt, D5,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Currency</v>
      </c>
      <c r="E24" t="str" cm="1">
        <f t="array" ref="E24">_xlfn.LET(
  _xlpm.txt, E5,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Raid Cards</v>
      </c>
      <c r="F24" t="str" cm="1">
        <f t="array" ref="F24">_xlfn.LET(
  _xlpm.txt, F5,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1 Event Equipment </v>
      </c>
      <c r="G24" t="str" cm="1">
        <f t="array" ref="G24">_xlfn.LET(
  _xlpm.txt, G5,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Pet Eggs</v>
      </c>
      <c r="H24" t="str" cm="1">
        <f t="array" ref="H24">_xlfn.LET(
  _xlpm.txt, H5,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Raid Cards</v>
      </c>
      <c r="I24" t="str" cm="1">
        <f t="array" ref="I24">_xlfn.LET(
  _xlpm.txt, I5,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Crafting Shards</v>
      </c>
      <c r="J24" t="str" cm="1">
        <f t="array" ref="J24">_xlfn.LET(
  _xlpm.txt, J5,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K24" t="str" cm="1">
        <f t="array" ref="K24">_xlfn.LET(
  _xlpm.txt, K5,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Currency</v>
      </c>
      <c r="L24" t="str" cm="1">
        <f t="array" ref="L24">_xlfn.LET(
  _xlpm.txt, L5,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Skill Points</v>
      </c>
      <c r="M24" t="str" cm="1">
        <f t="array" ref="M24">_xlfn.LET(
  _xlpm.txt, M5,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Currency</v>
      </c>
      <c r="N24" t="str" cm="1">
        <f t="array" ref="N24">_xlfn.LET(
  _xlpm.txt, N5,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O24" t="str" cm="1">
        <f t="array" ref="O24">_xlfn.LET(
  _xlpm.txt, O5,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P24" t="str" cm="1">
        <f t="array" ref="P24">_xlfn.LET(
  _xlpm.txt, P5,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Q24" t="str" cm="1">
        <f t="array" ref="Q24">_xlfn.LET(
  _xlpm.txt, Q5,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232 Currency</v>
      </c>
      <c r="S24" t="str">
        <v>3 Perks</v>
      </c>
      <c r="U24" t="str">
        <f t="shared" si="0"/>
        <v>Perks</v>
      </c>
      <c r="V24" t="b">
        <f t="shared" si="1"/>
        <v>0</v>
      </c>
      <c r="X24" t="str">
        <v>Currency</v>
      </c>
      <c r="Y24" t="s">
        <v>504</v>
      </c>
      <c r="AC24" t="str">
        <v>3 Perks</v>
      </c>
      <c r="AE24" t="str">
        <f t="shared" si="2"/>
        <v>Perks</v>
      </c>
      <c r="AF24" t="b">
        <f t="shared" si="3"/>
        <v>0</v>
      </c>
    </row>
    <row r="25" spans="1:32">
      <c r="A25" t="str" cm="1">
        <f t="array" ref="A25">_xlfn.LET(
  _xlpm.txt, A6,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B25" t="str" cm="1">
        <f t="array" ref="B25">_xlfn.LET(
  _xlpm.txt, B6,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C25" t="str" cm="1">
        <f t="array" ref="C25">_xlfn.LET(
  _xlpm.txt, C6,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D25" t="str" cm="1">
        <f t="array" ref="D25">_xlfn.LET(
  _xlpm.txt, D6,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Raid Cards</v>
      </c>
      <c r="E25" t="str" cm="1">
        <f t="array" ref="E25">_xlfn.LET(
  _xlpm.txt, E6,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2 Event Equipment </v>
      </c>
      <c r="F25" t="str" cm="1">
        <f t="array" ref="F25">_xlfn.LET(
  _xlpm.txt, F6,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Currency</v>
      </c>
      <c r="G25" t="str" cm="1">
        <f t="array" ref="G25">_xlfn.LET(
  _xlpm.txt, G6,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Pepper</v>
      </c>
      <c r="H25" t="str" cm="1">
        <f t="array" ref="H25">_xlfn.LET(
  _xlpm.txt, H6,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Hero Weapons</v>
      </c>
      <c r="I25" t="str" cm="1">
        <f t="array" ref="I25">_xlfn.LET(
  _xlpm.txt, I6,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Raid Cards</v>
      </c>
      <c r="J25" t="str" cm="1">
        <f t="array" ref="J25">_xlfn.LET(
  _xlpm.txt, J6,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3 Event Equipment </v>
      </c>
      <c r="K25" t="str" cm="1">
        <f t="array" ref="K25">_xlfn.LET(
  _xlpm.txt, K6,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Crafting Shards</v>
      </c>
      <c r="L25" t="str" cm="1">
        <f t="array" ref="L25">_xlfn.LET(
  _xlpm.txt, L6,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 Wildcards</v>
      </c>
      <c r="M25" t="str" cm="1">
        <f t="array" ref="M25">_xlfn.LET(
  _xlpm.txt, M6,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N25" t="str" cm="1">
        <f t="array" ref="N25">_xlfn.LET(
  _xlpm.txt, N6,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O25" t="str" cm="1">
        <f t="array" ref="O25">_xlfn.LET(
  _xlpm.txt, O6,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P25" t="str" cm="1">
        <f t="array" ref="P25">_xlfn.LET(
  _xlpm.txt, P6,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12 Event Equipment </v>
      </c>
      <c r="Q25" t="str" cm="1">
        <f t="array" ref="Q25">_xlfn.LET(
  _xlpm.txt, Q6,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Clan Scrolls</v>
      </c>
      <c r="S25" t="str">
        <v>3 Clan Scrolls</v>
      </c>
      <c r="U25" t="str">
        <f t="shared" si="0"/>
        <v>Clan Scrolls</v>
      </c>
      <c r="V25" t="b">
        <f t="shared" si="1"/>
        <v>0</v>
      </c>
      <c r="X25" t="str">
        <v>Crafting Shards</v>
      </c>
      <c r="Y25" s="57" t="s">
        <v>505</v>
      </c>
      <c r="AC25" t="str">
        <v>3 Clan Scrolls</v>
      </c>
      <c r="AE25" t="str">
        <f t="shared" si="2"/>
        <v>Clan Scrolls</v>
      </c>
      <c r="AF25" t="b">
        <f t="shared" si="3"/>
        <v>0</v>
      </c>
    </row>
    <row r="26" spans="1:32">
      <c r="A26" t="str" cm="1">
        <f t="array" ref="A26">_xlfn.LET(
  _xlpm.txt, A7,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B26" t="str" cm="1">
        <f t="array" ref="B26">_xlfn.LET(
  _xlpm.txt, B7,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C26" t="str" cm="1">
        <f t="array" ref="C26">_xlfn.LET(
  _xlpm.txt, C7,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Perks</v>
      </c>
      <c r="D26" t="str" cm="1">
        <f t="array" ref="D26">_xlfn.LET(
  _xlpm.txt, D7,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1 Event Equipment </v>
      </c>
      <c r="E26" t="str" cm="1">
        <f t="array" ref="E26">_xlfn.LET(
  _xlpm.txt, E7,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Currency</v>
      </c>
      <c r="F26" t="str" cm="1">
        <f t="array" ref="F26">_xlfn.LET(
  _xlpm.txt, F7,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Currency</v>
      </c>
      <c r="G26" t="str" cm="1">
        <f t="array" ref="G26">_xlfn.LET(
  _xlpm.txt, G7,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H26" t="str" cm="1">
        <f t="array" ref="H26">_xlfn.LET(
  _xlpm.txt, H7,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I26" t="str" cm="1">
        <f t="array" ref="I26">_xlfn.LET(
  _xlpm.txt, I7,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J26" t="str" cm="1">
        <f t="array" ref="J26">_xlfn.LET(
  _xlpm.txt, J7,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K26" t="str" cm="1">
        <f t="array" ref="K26">_xlfn.LET(
  _xlpm.txt, K7,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L26" t="str" cm="1">
        <f t="array" ref="L26">_xlfn.LET(
  _xlpm.txt, L7,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Skill Points</v>
      </c>
      <c r="M26" t="str" cm="1">
        <f t="array" ref="M26">_xlfn.LET(
  _xlpm.txt, M7,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Raid Cards</v>
      </c>
      <c r="N26" t="str" cm="1">
        <f t="array" ref="N26">_xlfn.LET(
  _xlpm.txt, N7,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O26" t="str" cm="1">
        <f t="array" ref="O26">_xlfn.LET(
  _xlpm.txt, O7,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P26" t="str" cm="1">
        <f t="array" ref="P26">_xlfn.LET(
  _xlpm.txt, P7,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Hero Weapons</v>
      </c>
      <c r="Q26" t="str" cm="1">
        <f t="array" ref="Q26">_xlfn.LET(
  _xlpm.txt, Q7,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238 Currency</v>
      </c>
      <c r="S26" t="str">
        <v>6 Raid Cards</v>
      </c>
      <c r="U26" t="str">
        <f t="shared" si="0"/>
        <v>Raid Cards</v>
      </c>
      <c r="V26" t="b">
        <f t="shared" si="1"/>
        <v>0</v>
      </c>
      <c r="X26" t="str">
        <v>Clan Scrolls</v>
      </c>
      <c r="Y26" s="57" t="s">
        <v>507</v>
      </c>
      <c r="AC26" t="str">
        <v>6 Raid Cards</v>
      </c>
      <c r="AE26" t="str">
        <f t="shared" si="2"/>
        <v>Raid Cards</v>
      </c>
      <c r="AF26" t="b">
        <f t="shared" si="3"/>
        <v>0</v>
      </c>
    </row>
    <row r="27" spans="1:32">
      <c r="A27" t="str" cm="1">
        <f t="array" ref="A27">_xlfn.LET(
  _xlpm.txt, A8,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Feather</v>
      </c>
      <c r="B27" t="str" cm="1">
        <f t="array" ref="B27">_xlfn.LET(
  _xlpm.txt, B8,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Egg</v>
      </c>
      <c r="C27" t="str" cm="1">
        <f t="array" ref="C27">_xlfn.LET(
  _xlpm.txt, C8,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D27" t="str" cm="1">
        <f t="array" ref="D27">_xlfn.LET(
  _xlpm.txt, D8,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Pet Eggs</v>
      </c>
      <c r="E27" t="str" cm="1">
        <f t="array" ref="E27">_xlfn.LET(
  _xlpm.txt, E8,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Pepper</v>
      </c>
      <c r="F27" t="str" cm="1">
        <f t="array" ref="F27">_xlfn.LET(
  _xlpm.txt, F8,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G27" t="str" cm="1">
        <f t="array" ref="G27">_xlfn.LET(
  _xlpm.txt, G8,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Currency</v>
      </c>
      <c r="H27" t="str" cm="1">
        <f t="array" ref="H27">_xlfn.LET(
  _xlpm.txt, H8,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Pet Eggs</v>
      </c>
      <c r="I27" t="str" cm="1">
        <f t="array" ref="I27">_xlfn.LET(
  _xlpm.txt, I8,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Raid Cards</v>
      </c>
      <c r="J27" t="str" cm="1">
        <f t="array" ref="J27">_xlfn.LET(
  _xlpm.txt, J8,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Sand</v>
      </c>
      <c r="K27" t="str" cm="1">
        <f t="array" ref="K27">_xlfn.LET(
  _xlpm.txt, K8,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L27" t="str" cm="1">
        <f t="array" ref="L27">_xlfn.LET(
  _xlpm.txt, L8,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Raid cards</v>
      </c>
      <c r="M27" t="str" cm="1">
        <f t="array" ref="M27">_xlfn.LET(
  _xlpm.txt, M8,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N27" t="str" cm="1">
        <f t="array" ref="N27">_xlfn.LET(
  _xlpm.txt, N8,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O27" t="str" cm="1">
        <f t="array" ref="O27">_xlfn.LET(
  _xlpm.txt, O8,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P27" t="str" cm="1">
        <f t="array" ref="P27">_xlfn.LET(
  _xlpm.txt, P8,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Raid Cards</v>
      </c>
      <c r="Q27" t="str" cm="1">
        <f t="array" ref="Q27">_xlfn.LET(
  _xlpm.txt, Q8,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39 Pet Eggs</v>
      </c>
      <c r="S27" t="str">
        <v>1 Rare Equipment</v>
      </c>
      <c r="U27" t="str">
        <f t="shared" si="0"/>
        <v>Rare Equipment</v>
      </c>
      <c r="V27" t="b">
        <f t="shared" si="1"/>
        <v>0</v>
      </c>
      <c r="X27" t="str">
        <v>Clan Scroll</v>
      </c>
      <c r="Y27" t="s">
        <v>506</v>
      </c>
      <c r="AC27" t="str">
        <v xml:space="preserve">1 Event Equipment </v>
      </c>
      <c r="AE27" t="str">
        <f t="shared" si="2"/>
        <v xml:space="preserve">Event Equipment </v>
      </c>
      <c r="AF27" t="b">
        <f t="shared" si="3"/>
        <v>0</v>
      </c>
    </row>
    <row r="28" spans="1:32">
      <c r="A28" t="str" cm="1">
        <f t="array" ref="A28">_xlfn.LET(
  _xlpm.txt, A9,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Egg</v>
      </c>
      <c r="B28" t="str" cm="1">
        <f t="array" ref="B28">_xlfn.LET(
  _xlpm.txt, B9,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Skill Points</v>
      </c>
      <c r="C28" t="str" cm="1">
        <f t="array" ref="C28">_xlfn.LET(
  _xlpm.txt, C9,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Raid Cards</v>
      </c>
      <c r="D28" t="str" cm="1">
        <f t="array" ref="D28">_xlfn.LET(
  _xlpm.txt, D9,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Raid Cards</v>
      </c>
      <c r="E28" t="str" cm="1">
        <f t="array" ref="E28">_xlfn.LET(
  _xlpm.txt, E9,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Hero Weapons</v>
      </c>
      <c r="F28" t="str" cm="1">
        <f t="array" ref="F28">_xlfn.LET(
  _xlpm.txt, F9,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G28" t="str" cm="1">
        <f t="array" ref="G28">_xlfn.LET(
  _xlpm.txt, G9,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Pet Eggs</v>
      </c>
      <c r="H28" t="str" cm="1">
        <f t="array" ref="H28">_xlfn.LET(
  _xlpm.txt, H9,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52 Currency</v>
      </c>
      <c r="I28" t="str" cm="1">
        <f t="array" ref="I28">_xlfn.LET(
  _xlpm.txt, I9,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J28" t="str" cm="1">
        <f t="array" ref="J28">_xlfn.LET(
  _xlpm.txt, J9,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K28" t="str" cm="1">
        <f t="array" ref="K28">_xlfn.LET(
  _xlpm.txt, K9,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Pet Eggs</v>
      </c>
      <c r="L28" t="str" cm="1">
        <f t="array" ref="L28">_xlfn.LET(
  _xlpm.txt, L9,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Currency</v>
      </c>
      <c r="M28" t="str" cm="1">
        <f t="array" ref="M28">_xlfn.LET(
  _xlpm.txt, M9,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26 Raid Cards</v>
      </c>
      <c r="N28" t="str" cm="1">
        <f t="array" ref="N28">_xlfn.LET(
  _xlpm.txt, N9,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136 Currency</v>
      </c>
      <c r="O28" t="str" cm="1">
        <f t="array" ref="O28">_xlfn.LET(
  _xlpm.txt, O9,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136 Currency</v>
      </c>
      <c r="P28" t="str" cm="1">
        <f t="array" ref="P28">_xlfn.LET(
  _xlpm.txt, P9,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45 Raid Cards</v>
      </c>
      <c r="Q28" t="str" cm="1">
        <f t="array" ref="Q28">_xlfn.LET(
  _xlpm.txt, Q9,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252 Currency</v>
      </c>
      <c r="S28" t="str">
        <v>3 Pet Eggs</v>
      </c>
      <c r="U28" t="str">
        <f t="shared" si="0"/>
        <v>Pet Eggs</v>
      </c>
      <c r="V28" t="b">
        <f t="shared" si="1"/>
        <v>0</v>
      </c>
      <c r="X28">
        <v>0</v>
      </c>
      <c r="AC28" t="str">
        <v>3 Pet Eggs</v>
      </c>
      <c r="AE28" t="str">
        <f t="shared" si="2"/>
        <v>Pet Eggs</v>
      </c>
      <c r="AF28" t="b">
        <f t="shared" si="3"/>
        <v>0</v>
      </c>
    </row>
    <row r="29" spans="1:32">
      <c r="A29" t="str" cm="1">
        <f t="array" ref="A29">_xlfn.LET(
  _xlpm.txt, A10,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B29" t="str" cm="1">
        <f t="array" ref="B29">_xlfn.LET(
  _xlpm.txt, B10,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32 Currency</v>
      </c>
      <c r="C29" t="str" cm="1">
        <f t="array" ref="C29">_xlfn.LET(
  _xlpm.txt, C10,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Crafting Shards</v>
      </c>
      <c r="D29" t="str" cm="1">
        <f t="array" ref="D29">_xlfn.LET(
  _xlpm.txt, D10,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Crafting Shards</v>
      </c>
      <c r="E29" t="str" cm="1">
        <f t="array" ref="E29">_xlfn.LET(
  _xlpm.txt, E10,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Raid Cards</v>
      </c>
      <c r="F29" t="str" cm="1">
        <f t="array" ref="F29">_xlfn.LET(
  _xlpm.txt, F10,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G29" t="str" cm="1">
        <f t="array" ref="G29">_xlfn.LET(
  _xlpm.txt, G10,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Raid Cards</v>
      </c>
      <c r="H29" t="str" cm="1">
        <f t="array" ref="H29">_xlfn.LET(
  _xlpm.txt, H10,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I29" t="str" cm="1">
        <f t="array" ref="I29">_xlfn.LET(
  _xlpm.txt, I10,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52 Currency</v>
      </c>
      <c r="J29" t="str" cm="1">
        <f t="array" ref="J29">_xlfn.LET(
  _xlpm.txt, J10,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K29" t="str" cm="1">
        <f t="array" ref="K29">_xlfn.LET(
  _xlpm.txt, K10,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Pet Eggs</v>
      </c>
      <c r="L29" t="str" cm="1">
        <f t="array" ref="L29">_xlfn.LET(
  _xlpm.txt, L10,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M29" t="str" cm="1">
        <f t="array" ref="M29">_xlfn.LET(
  _xlpm.txt, M10,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Pet Eggs</v>
      </c>
      <c r="N29" t="str" cm="1">
        <f t="array" ref="N29">_xlfn.LET(
  _xlpm.txt, N10,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136 Currency</v>
      </c>
      <c r="O29" t="str" cm="1">
        <f t="array" ref="O29">_xlfn.LET(
  _xlpm.txt, O10,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Pet Eggs</v>
      </c>
      <c r="P29" t="str" cm="1">
        <f t="array" ref="P29">_xlfn.LET(
  _xlpm.txt, P10,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Q29" t="str" cm="1">
        <f t="array" ref="Q29">_xlfn.LET(
  _xlpm.txt, Q10,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Fortune Scrolls</v>
      </c>
      <c r="S29" t="str">
        <v>Event Equipment (Lab Coat)</v>
      </c>
      <c r="U29" t="str">
        <f t="shared" si="0"/>
        <v>Event Equipment (Lab Coat)</v>
      </c>
      <c r="V29" t="b">
        <f t="shared" si="1"/>
        <v>0</v>
      </c>
      <c r="AC29" t="str">
        <v>232 Currency</v>
      </c>
      <c r="AE29" t="str">
        <f t="shared" si="2"/>
        <v>Currency</v>
      </c>
      <c r="AF29" t="b">
        <f t="shared" si="3"/>
        <v>0</v>
      </c>
    </row>
    <row r="30" spans="1:32">
      <c r="A30" t="str" cm="1">
        <f t="array" ref="A30">_xlfn.LET(
  _xlpm.txt, A11,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Pepper</v>
      </c>
      <c r="B30" t="str" cm="1">
        <f t="array" ref="B30">_xlfn.LET(
  _xlpm.txt, B11,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32 Currency</v>
      </c>
      <c r="C30" t="str" cm="1">
        <f t="array" ref="C30">_xlfn.LET(
  _xlpm.txt, C11,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Perks</v>
      </c>
      <c r="D30" t="str" cm="1">
        <f t="array" ref="D30">_xlfn.LET(
  _xlpm.txt, D11,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E30" t="str" cm="1">
        <f t="array" ref="E30">_xlfn.LET(
  _xlpm.txt, E11,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3 Event Equipment </v>
      </c>
      <c r="F30" t="str" cm="1">
        <f t="array" ref="F30">_xlfn.LET(
  _xlpm.txt, F11,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G30" t="str" cm="1">
        <f t="array" ref="G30">_xlfn.LET(
  _xlpm.txt, G11,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Sand</v>
      </c>
      <c r="H30" t="str" cm="1">
        <f t="array" ref="H30">_xlfn.LET(
  _xlpm.txt, H11,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I30" t="str" cm="1">
        <f t="array" ref="I30">_xlfn.LET(
  _xlpm.txt, I11,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J30" t="str" cm="1">
        <f t="array" ref="J30">_xlfn.LET(
  _xlpm.txt, J11,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52 Currency</v>
      </c>
      <c r="K30" t="str" cm="1">
        <f t="array" ref="K30">_xlfn.LET(
  _xlpm.txt, K11,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Skill Points</v>
      </c>
      <c r="L30" t="str" cm="1">
        <f t="array" ref="L30">_xlfn.LET(
  _xlpm.txt, L11,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M30" t="str" cm="1">
        <f t="array" ref="M30">_xlfn.LET(
  _xlpm.txt, M11,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 Crafting Shards</v>
      </c>
      <c r="N30" t="str" cm="1">
        <f t="array" ref="N30">_xlfn.LET(
  _xlpm.txt, N11,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O30" t="str" cm="1">
        <f t="array" ref="O30">_xlfn.LET(
  _xlpm.txt, O11,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P30" t="str" cm="1">
        <f t="array" ref="P30">_xlfn.LET(
  _xlpm.txt, P11,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Q30" t="str" cm="1">
        <f t="array" ref="Q30">_xlfn.LET(
  _xlpm.txt, Q11,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252 Currency</v>
      </c>
      <c r="S30" t="str">
        <v>232 Currency</v>
      </c>
      <c r="U30" t="str">
        <f t="shared" si="0"/>
        <v>Currency</v>
      </c>
      <c r="V30" t="b">
        <f t="shared" si="1"/>
        <v>0</v>
      </c>
      <c r="AC30" t="str">
        <v xml:space="preserve">2 Event Equipment </v>
      </c>
      <c r="AE30" t="str">
        <f t="shared" si="2"/>
        <v xml:space="preserve">Event Equipment </v>
      </c>
      <c r="AF30" t="b">
        <f t="shared" si="3"/>
        <v>0</v>
      </c>
    </row>
    <row r="31" spans="1:32">
      <c r="A31" t="str" cm="1">
        <f t="array" ref="A31">_xlfn.LET(
  _xlpm.txt, A12,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Sand</v>
      </c>
      <c r="B31" t="str" cm="1">
        <f t="array" ref="B31">_xlfn.LET(
  _xlpm.txt, B12,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Raid Cards</v>
      </c>
      <c r="C31" t="str" cm="1">
        <f t="array" ref="C31">_xlfn.LET(
  _xlpm.txt, C12,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Currency</v>
      </c>
      <c r="D31" t="str" cm="1">
        <f t="array" ref="D31">_xlfn.LET(
  _xlpm.txt, D12,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Currency</v>
      </c>
      <c r="E31" t="str" cm="1">
        <f t="array" ref="E31">_xlfn.LET(
  _xlpm.txt, E12,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Crafting Shards</v>
      </c>
      <c r="F31" t="str" cm="1">
        <f t="array" ref="F31">_xlfn.LET(
  _xlpm.txt, F12,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G31" t="str" cm="1">
        <f t="array" ref="G31">_xlfn.LET(
  _xlpm.txt, G12,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H31" t="str" cm="1">
        <f t="array" ref="H31">_xlfn.LET(
  _xlpm.txt, H12,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Pet Eggs</v>
      </c>
      <c r="I31" t="str" cm="1">
        <f t="array" ref="I31">_xlfn.LET(
  _xlpm.txt, I12,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Pet Eggs</v>
      </c>
      <c r="J31" t="str" cm="1">
        <f t="array" ref="J31">_xlfn.LET(
  _xlpm.txt, J12,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Skill Points</v>
      </c>
      <c r="K31" t="str" cm="1">
        <f t="array" ref="K31">_xlfn.LET(
  _xlpm.txt, K12,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L31" t="str" cm="1">
        <f t="array" ref="L31">_xlfn.LET(
  _xlpm.txt, L12,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M31" t="str" cm="1">
        <f t="array" ref="M31">_xlfn.LET(
  _xlpm.txt, M12,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N31" t="str" cm="1">
        <f t="array" ref="N31">_xlfn.LET(
  _xlpm.txt, N12,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Weapons</v>
      </c>
      <c r="O31" t="str" cm="1">
        <f t="array" ref="O31">_xlfn.LET(
  _xlpm.txt, O12,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54 Raid Cards</v>
      </c>
      <c r="P31" t="str" cm="1">
        <f t="array" ref="P31">_xlfn.LET(
  _xlpm.txt, P12,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54 Raid Cards</v>
      </c>
      <c r="Q31" t="str" cm="1">
        <f t="array" ref="Q31">_xlfn.LET(
  _xlpm.txt, Q12,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Fortune Scrolls</v>
      </c>
      <c r="S31" t="str">
        <v>2 Rare Equipment</v>
      </c>
      <c r="U31" t="str">
        <f t="shared" si="0"/>
        <v>Rare Equipment</v>
      </c>
      <c r="V31" t="b">
        <f t="shared" si="1"/>
        <v>0</v>
      </c>
      <c r="AC31" t="str">
        <v>25 Currency</v>
      </c>
      <c r="AE31" t="str">
        <f t="shared" si="2"/>
        <v>Currency</v>
      </c>
      <c r="AF31" t="b">
        <f t="shared" si="3"/>
        <v>0</v>
      </c>
    </row>
    <row r="32" spans="1:32">
      <c r="A32" t="str" cm="1">
        <f t="array" ref="A32">_xlfn.LET(
  _xlpm.txt, A13,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B32" t="str" cm="1">
        <f t="array" ref="B32">_xlfn.LET(
  _xlpm.txt, B13,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Skill Points</v>
      </c>
      <c r="C32" t="str" cm="1">
        <f t="array" ref="C32">_xlfn.LET(
  _xlpm.txt, C13,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Raid Cards</v>
      </c>
      <c r="D32" t="str" cm="1">
        <f t="array" ref="D32">_xlfn.LET(
  _xlpm.txt, D13,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Skill Points</v>
      </c>
      <c r="E32" t="str" cm="1">
        <f t="array" ref="E32">_xlfn.LET(
  _xlpm.txt, E13,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 Wildcards</v>
      </c>
      <c r="F32" t="str" cm="1">
        <f t="array" ref="F32">_xlfn.LET(
  _xlpm.txt, F13,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Skill Points</v>
      </c>
      <c r="G32" t="str" cm="1">
        <f t="array" ref="G32">_xlfn.LET(
  _xlpm.txt, G13,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Raid cards</v>
      </c>
      <c r="H32" t="str" cm="1">
        <f t="array" ref="H32">_xlfn.LET(
  _xlpm.txt, H13,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Currency</v>
      </c>
      <c r="I32" t="str" cm="1">
        <f t="array" ref="I32">_xlfn.LET(
  _xlpm.txt, I13,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J32" t="str" cm="1">
        <f t="array" ref="J32">_xlfn.LET(
  _xlpm.txt, J13,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K32" t="str" cm="1">
        <f t="array" ref="K32">_xlfn.LET(
  _xlpm.txt, K13,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 Currency</v>
      </c>
      <c r="L32" t="str" cm="1">
        <f t="array" ref="L32">_xlfn.LET(
  _xlpm.txt, L13,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M32" t="str" cm="1">
        <f t="array" ref="M32">_xlfn.LET(
  _xlpm.txt, M13,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N32" t="str" cm="1">
        <f t="array" ref="N32">_xlfn.LET(
  _xlpm.txt, N13,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164 Currency</v>
      </c>
      <c r="O32" t="str" cm="1">
        <f t="array" ref="O32">_xlfn.LET(
  _xlpm.txt, O13,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164 Currency</v>
      </c>
      <c r="P32" t="str" cm="1">
        <f t="array" ref="P32">_xlfn.LET(
  _xlpm.txt, P13,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41 Wildcards</v>
      </c>
      <c r="Q32" t="str" cm="1">
        <f t="array" ref="Q32">_xlfn.LET(
  _xlpm.txt, Q13,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28 Currency</v>
      </c>
      <c r="S32" t="str">
        <v>25 Currency</v>
      </c>
      <c r="U32" t="str">
        <f t="shared" si="0"/>
        <v>Currency</v>
      </c>
      <c r="V32" t="b">
        <f t="shared" si="1"/>
        <v>0</v>
      </c>
      <c r="AC32" t="str">
        <v>Pepper</v>
      </c>
      <c r="AE32" t="str">
        <f t="shared" si="2"/>
        <v>Pepper</v>
      </c>
      <c r="AF32" t="b">
        <f t="shared" si="3"/>
        <v>1</v>
      </c>
    </row>
    <row r="33" spans="1:32">
      <c r="A33" t="str" cm="1">
        <f t="array" ref="A33">_xlfn.LET(
  _xlpm.txt, A14,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B33" t="str" cm="1">
        <f t="array" ref="B33">_xlfn.LET(
  _xlpm.txt, B14,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Hero Weapons</v>
      </c>
      <c r="C33" t="str" cm="1">
        <f t="array" ref="C33">_xlfn.LET(
  _xlpm.txt, C14,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Perks</v>
      </c>
      <c r="D33" t="str" cm="1">
        <f t="array" ref="D33">_xlfn.LET(
  _xlpm.txt, D14,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Currency</v>
      </c>
      <c r="E33" t="str" cm="1">
        <f t="array" ref="E33">_xlfn.LET(
  _xlpm.txt, E14,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F33" t="str" cm="1">
        <f t="array" ref="F33">_xlfn.LET(
  _xlpm.txt, F14,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Raid Cards</v>
      </c>
      <c r="G33" t="str" cm="1">
        <f t="array" ref="G33">_xlfn.LET(
  _xlpm.txt, G14,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66 Currency</v>
      </c>
      <c r="H33" t="str" cm="1">
        <f t="array" ref="H33">_xlfn.LET(
  _xlpm.txt, H14,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26 Raid Cards</v>
      </c>
      <c r="I33" t="str" cm="1">
        <f t="array" ref="I33">_xlfn.LET(
  _xlpm.txt, I14,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Pet Eggs</v>
      </c>
      <c r="J33" t="str" cm="1">
        <f t="array" ref="J33">_xlfn.LET(
  _xlpm.txt, J14,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 Crafting Shards</v>
      </c>
      <c r="K33" t="str" cm="1">
        <f t="array" ref="K33">_xlfn.LET(
  _xlpm.txt, K14,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L33" t="str" cm="1">
        <f t="array" ref="L33">_xlfn.LET(
  _xlpm.txt, L14,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M33" t="str" cm="1">
        <f t="array" ref="M33">_xlfn.LET(
  _xlpm.txt, M14,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Skill Points</v>
      </c>
      <c r="N33" t="str" cm="1">
        <f t="array" ref="N33">_xlfn.LET(
  _xlpm.txt, N14,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O33" t="str" cm="1">
        <f t="array" ref="O33">_xlfn.LET(
  _xlpm.txt, O14,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P33" t="str" cm="1">
        <f t="array" ref="P33">_xlfn.LET(
  _xlpm.txt, P14,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Skill Points</v>
      </c>
      <c r="Q33" t="str" cm="1">
        <f t="array" ref="Q33">_xlfn.LET(
  _xlpm.txt, Q14,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 Skill Points</v>
      </c>
      <c r="S33" t="str">
        <v>Pepper</v>
      </c>
      <c r="U33" t="str">
        <f t="shared" si="0"/>
        <v>Pepper</v>
      </c>
      <c r="V33" t="b">
        <f t="shared" si="1"/>
        <v>1</v>
      </c>
      <c r="AC33" t="str">
        <v>2 Hero Weapons</v>
      </c>
      <c r="AE33" t="str">
        <f t="shared" si="2"/>
        <v>Hero Weapons</v>
      </c>
      <c r="AF33" t="b">
        <f t="shared" si="3"/>
        <v>0</v>
      </c>
    </row>
    <row r="34" spans="1:32">
      <c r="A34" t="str" cm="1">
        <f t="array" ref="A34">_xlfn.LET(
  _xlpm.txt, A15,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B34" t="str" cm="1">
        <f t="array" ref="B34">_xlfn.LET(
  _xlpm.txt, B15,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C34" t="str" cm="1">
        <f t="array" ref="C34">_xlfn.LET(
  _xlpm.txt, C15,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D34" t="str" cm="1">
        <f t="array" ref="D34">_xlfn.LET(
  _xlpm.txt, D15,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E34" t="str" cm="1">
        <f t="array" ref="E34">_xlfn.LET(
  _xlpm.txt, E15,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F34" t="str" cm="1">
        <f t="array" ref="F34">_xlfn.LET(
  _xlpm.txt, F15,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G34" t="str" cm="1">
        <f t="array" ref="G34">_xlfn.LET(
  _xlpm.txt, G15,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H34" t="str" cm="1">
        <f t="array" ref="H34">_xlfn.LET(
  _xlpm.txt, H15,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136 Currency</v>
      </c>
      <c r="I34" t="str" cm="1">
        <f t="array" ref="I34">_xlfn.LET(
  _xlpm.txt, I15,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136 Currency</v>
      </c>
      <c r="J34" t="str" cm="1">
        <f t="array" ref="J34">_xlfn.LET(
  _xlpm.txt, J15,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K34" t="str" cm="1">
        <f t="array" ref="K34">_xlfn.LET(
  _xlpm.txt, K15,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Weapons</v>
      </c>
      <c r="L34" t="str" cm="1">
        <f t="array" ref="L34">_xlfn.LET(
  _xlpm.txt, L15,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164 Currency</v>
      </c>
      <c r="M34" t="str" cm="1">
        <f t="array" ref="M34">_xlfn.LET(
  _xlpm.txt, M15,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N34" t="str" cm="1">
        <f t="array" ref="N34">_xlfn.LET(
  _xlpm.txt, N15,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Shadow</v>
      </c>
      <c r="O34" t="str" cm="1">
        <f t="array" ref="O34">_xlfn.LET(
  _xlpm.txt, O15,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 Fortune Weapons</v>
      </c>
      <c r="P34" t="str" cm="1">
        <f t="array" ref="P34">_xlfn.LET(
  _xlpm.txt, P15,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Q34" t="str" cm="1">
        <f t="array" ref="Q34">_xlfn.LET(
  _xlpm.txt, Q15,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84 Wildcards</v>
      </c>
      <c r="S34" t="str">
        <v>2 Hero Weapons</v>
      </c>
      <c r="U34" t="str">
        <f t="shared" si="0"/>
        <v>Hero Weapons</v>
      </c>
      <c r="V34" t="b">
        <f t="shared" si="1"/>
        <v>0</v>
      </c>
      <c r="Y34" s="57"/>
      <c r="AC34" t="str">
        <v>12 Raid Cards</v>
      </c>
      <c r="AE34" t="str">
        <f t="shared" si="2"/>
        <v>Raid Cards</v>
      </c>
      <c r="AF34" t="b">
        <f t="shared" si="3"/>
        <v>0</v>
      </c>
    </row>
    <row r="35" spans="1:32">
      <c r="A35" t="str" cm="1">
        <f t="array" ref="A35">_xlfn.LET(
  _xlpm.txt, A16,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B35" t="str" cm="1">
        <f t="array" ref="B35">_xlfn.LET(
  _xlpm.txt, B16,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Clan Scrolls</v>
      </c>
      <c r="C35" t="str" cm="1">
        <f t="array" ref="C35">_xlfn.LET(
  _xlpm.txt, C16,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D35" t="str" cm="1">
        <f t="array" ref="D35">_xlfn.LET(
  _xlpm.txt, D16,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E35" t="str" cm="1">
        <f t="array" ref="E35">_xlfn.LET(
  _xlpm.txt, E16,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F35" t="str" cm="1">
        <f t="array" ref="F35">_xlfn.LET(
  _xlpm.txt, F16,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Event Equipment </v>
      </c>
      <c r="G35" t="str" cm="1">
        <f t="array" ref="G35">_xlfn.LET(
  _xlpm.txt, G16,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122 Currency</v>
      </c>
      <c r="H35" t="str" cm="1">
        <f t="array" ref="H35">_xlfn.LET(
  _xlpm.txt, H16,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136 Currency</v>
      </c>
      <c r="I35" t="str" cm="1">
        <f t="array" ref="I35">_xlfn.LET(
  _xlpm.txt, I16,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Pet Eggs</v>
      </c>
      <c r="J35" t="str" cm="1">
        <f t="array" ref="J35">_xlfn.LET(
  _xlpm.txt, J16,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K35" t="str" cm="1">
        <f t="array" ref="K35">_xlfn.LET(
  _xlpm.txt, K16,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54 Raid Cards</v>
      </c>
      <c r="L35" t="str" cm="1">
        <f t="array" ref="L35">_xlfn.LET(
  _xlpm.txt, L16,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164 Currency</v>
      </c>
      <c r="M35" t="str" cm="1">
        <f t="array" ref="M35">_xlfn.LET(
  _xlpm.txt, M16,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N35" t="str" cm="1">
        <f t="array" ref="N35">_xlfn.LET(
  _xlpm.txt, N16,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 Fortune Weapons</v>
      </c>
      <c r="O35" t="str" cm="1">
        <f t="array" ref="O35">_xlfn.LET(
  _xlpm.txt, O16,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P35" t="str" cm="1">
        <f t="array" ref="P35">_xlfn.LET(
  _xlpm.txt, P16,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Q35" t="str" cm="1">
        <f t="array" ref="Q35">_xlfn.LET(
  _xlpm.txt, Q16,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84 Wildcards</v>
      </c>
      <c r="S35" t="str">
        <v>12 Raid Cards</v>
      </c>
      <c r="U35" t="str">
        <f t="shared" si="0"/>
        <v>Raid Cards</v>
      </c>
      <c r="V35" t="b">
        <f t="shared" si="1"/>
        <v>0</v>
      </c>
      <c r="AC35" t="str">
        <v xml:space="preserve">3 Event Equipment </v>
      </c>
      <c r="AE35" t="str">
        <f t="shared" si="2"/>
        <v xml:space="preserve">Event Equipment </v>
      </c>
      <c r="AF35" t="b">
        <f t="shared" si="3"/>
        <v>0</v>
      </c>
    </row>
    <row r="36" spans="1:32">
      <c r="A36" t="str" cm="1">
        <f t="array" ref="A36">_xlfn.LET(
  _xlpm.txt, A17,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B36" t="str" cm="1">
        <f t="array" ref="B36">_xlfn.LET(
  _xlpm.txt, B17,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C36" t="str" cm="1">
        <f t="array" ref="C36">_xlfn.LET(
  _xlpm.txt, C17,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D36" t="str" cm="1">
        <f t="array" ref="D36">_xlfn.LET(
  _xlpm.txt, D17,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116 Currency</v>
      </c>
      <c r="E36" t="str" cm="1">
        <f t="array" ref="E36">_xlfn.LET(
  _xlpm.txt, E17,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 xml:space="preserve">12 Event Equipment </v>
      </c>
      <c r="F36" t="str" cm="1">
        <f t="array" ref="F36">_xlfn.LET(
  _xlpm.txt, F17,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Hero Weapons</v>
      </c>
      <c r="G36" t="str" cm="1">
        <f t="array" ref="G36">_xlfn.LET(
  _xlpm.txt, G17,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 Raid Cards</v>
      </c>
      <c r="H36" t="str" cm="1">
        <f t="array" ref="H36">_xlfn.LET(
  _xlpm.txt, H17,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45 Raid Cards</v>
      </c>
      <c r="I36" t="str" cm="1">
        <f t="array" ref="I36">_xlfn.LET(
  _xlpm.txt, I17,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J36" t="str" cm="1">
        <f t="array" ref="J36">_xlfn.LET(
  _xlpm.txt, J17,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Crafting Shards</v>
      </c>
      <c r="K36" t="str" cm="1">
        <f t="array" ref="K36">_xlfn.LET(
  _xlpm.txt, K17,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54 Raid Cards</v>
      </c>
      <c r="L36" t="str" cm="1">
        <f t="array" ref="L36">_xlfn.LET(
  _xlpm.txt, L17,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41 Wildcards</v>
      </c>
      <c r="M36" t="str" cm="1">
        <f t="array" ref="M36">_xlfn.LET(
  _xlpm.txt, M17,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Skill Points</v>
      </c>
      <c r="N36" t="str" cm="1">
        <f t="array" ref="N36">_xlfn.LET(
  _xlpm.txt, N17,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O36" t="str" cm="1">
        <f t="array" ref="O36">_xlfn.LET(
  _xlpm.txt, O17,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P36" t="str" cm="1">
        <f t="array" ref="P36">_xlfn.LET(
  _xlpm.txt, P17,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Q36" t="str" cm="1">
        <f t="array" ref="Q36">_xlfn.LET(
  _xlpm.txt, Q17,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336 Currency</v>
      </c>
      <c r="S36" t="str">
        <v>3 Rare Equipment</v>
      </c>
      <c r="U36" t="str">
        <f t="shared" si="0"/>
        <v>Rare Equipment</v>
      </c>
      <c r="V36" t="b">
        <f t="shared" si="1"/>
        <v>0</v>
      </c>
      <c r="AC36" t="str">
        <v>9 Crafting Shards</v>
      </c>
      <c r="AE36" t="str">
        <f t="shared" si="2"/>
        <v>Crafting Shards</v>
      </c>
      <c r="AF36" t="b">
        <f t="shared" si="3"/>
        <v>0</v>
      </c>
    </row>
    <row r="37" spans="1:32">
      <c r="A37" t="str" cm="1">
        <f t="array" ref="A37">_xlfn.LET(
  _xlpm.txt, A18,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Shadow</v>
      </c>
      <c r="B37" t="str" cm="1">
        <f t="array" ref="B37">_xlfn.LET(
  _xlpm.txt, B18,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222 Currency</v>
      </c>
      <c r="C37" t="str" cm="1">
        <f t="array" ref="C37">_xlfn.LET(
  _xlpm.txt, C18,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Clan Scrolls</v>
      </c>
      <c r="D37" t="str" cm="1">
        <f t="array" ref="D37">_xlfn.LET(
  _xlpm.txt, D18,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232 Currency</v>
      </c>
      <c r="E37" t="str" cm="1">
        <f t="array" ref="E37">_xlfn.LET(
  _xlpm.txt, E18,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Clan Scrolls</v>
      </c>
      <c r="F37" t="str" cm="1">
        <f t="array" ref="F37">_xlfn.LET(
  _xlpm.txt, F18,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238 Currency</v>
      </c>
      <c r="G37" t="str" cm="1">
        <f t="array" ref="G37">_xlfn.LET(
  _xlpm.txt, G18,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39 Pet Eggs</v>
      </c>
      <c r="H37" t="str" cm="1">
        <f t="array" ref="H37">_xlfn.LET(
  _xlpm.txt, H18,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252 Currency</v>
      </c>
      <c r="I37" t="str" cm="1">
        <f t="array" ref="I37">_xlfn.LET(
  _xlpm.txt, I18,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Fortune Scrolls</v>
      </c>
      <c r="J37" t="str" cm="1">
        <f t="array" ref="J37">_xlfn.LET(
  _xlpm.txt, J18,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252 Currency</v>
      </c>
      <c r="K37" t="str" cm="1">
        <f t="array" ref="K37">_xlfn.LET(
  _xlpm.txt, K18,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Fortune Scrolls</v>
      </c>
      <c r="L37" t="str" cm="1">
        <f t="array" ref="L37">_xlfn.LET(
  _xlpm.txt, L18,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28 Currency</v>
      </c>
      <c r="M37" t="str" cm="1">
        <f t="array" ref="M37">_xlfn.LET(
  _xlpm.txt, M18,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 Skill Points</v>
      </c>
      <c r="N37" t="str" cm="1">
        <f t="array" ref="N37">_xlfn.LET(
  _xlpm.txt, N18,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84 Wildcards</v>
      </c>
      <c r="O37" t="str" cm="1">
        <f t="array" ref="O37">_xlfn.LET(
  _xlpm.txt, O18,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84 Wildcards</v>
      </c>
      <c r="P37" t="str" cm="1">
        <f t="array" ref="P37">_xlfn.LET(
  _xlpm.txt, P18,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336 Currency</v>
      </c>
      <c r="Q37" t="str" cm="1">
        <f t="array" ref="Q37">_xlfn.LET(
  _xlpm.txt, Q18,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Legendary Equipment</v>
      </c>
      <c r="S37" t="str">
        <v>9 Crafting Shards</v>
      </c>
      <c r="U37" t="str">
        <f t="shared" si="0"/>
        <v>Crafting Shards</v>
      </c>
      <c r="V37" t="b">
        <f t="shared" si="1"/>
        <v>0</v>
      </c>
      <c r="AC37" t="str">
        <v>16 Wildcards</v>
      </c>
      <c r="AE37" t="str">
        <f t="shared" si="2"/>
        <v>Wildcards</v>
      </c>
      <c r="AF37" t="b">
        <f t="shared" si="3"/>
        <v>0</v>
      </c>
    </row>
    <row r="38" spans="1:32">
      <c r="S38" t="str">
        <v>16 Wildcards</v>
      </c>
      <c r="U38" t="str">
        <f t="shared" si="0"/>
        <v>Wildcards</v>
      </c>
      <c r="V38" t="b">
        <f t="shared" si="1"/>
        <v>0</v>
      </c>
      <c r="AC38" t="str">
        <v>66 Currency</v>
      </c>
      <c r="AE38" t="str">
        <f t="shared" si="2"/>
        <v>Currency</v>
      </c>
      <c r="AF38" t="b">
        <f t="shared" si="3"/>
        <v>0</v>
      </c>
    </row>
    <row r="39" spans="1:32">
      <c r="S39" t="str">
        <v>66 Currency</v>
      </c>
      <c r="U39" t="str">
        <f t="shared" si="0"/>
        <v>Currency</v>
      </c>
      <c r="V39" t="b">
        <f t="shared" si="1"/>
        <v>0</v>
      </c>
      <c r="AC39" t="str">
        <v>122 Currency</v>
      </c>
      <c r="AE39" t="str">
        <f t="shared" si="2"/>
        <v>Currency</v>
      </c>
      <c r="AF39" t="b">
        <f t="shared" si="3"/>
        <v>0</v>
      </c>
    </row>
    <row r="40" spans="1:32">
      <c r="S40" t="str">
        <v>122 Currency</v>
      </c>
      <c r="U40" t="str">
        <f t="shared" si="0"/>
        <v>Currency</v>
      </c>
      <c r="V40" t="b">
        <f t="shared" si="1"/>
        <v>0</v>
      </c>
      <c r="AC40" t="str">
        <v xml:space="preserve">12 Event Equipment </v>
      </c>
      <c r="AE40" t="str">
        <f t="shared" si="2"/>
        <v xml:space="preserve">Event Equipment </v>
      </c>
      <c r="AF40" t="b">
        <f t="shared" si="3"/>
        <v>0</v>
      </c>
    </row>
    <row r="41" spans="1:32">
      <c r="S41" t="str">
        <v>12 Rare Equipment</v>
      </c>
      <c r="U41" t="str">
        <f t="shared" si="0"/>
        <v>Rare Equipment</v>
      </c>
      <c r="V41" t="b">
        <f t="shared" si="1"/>
        <v>0</v>
      </c>
      <c r="AC41" t="str">
        <v>Mushroom</v>
      </c>
      <c r="AE41" t="str">
        <f t="shared" si="2"/>
        <v>Mushroom</v>
      </c>
      <c r="AF41" t="b">
        <f t="shared" si="3"/>
        <v>1</v>
      </c>
    </row>
    <row r="42" spans="1:32">
      <c r="B42" s="57" t="s">
        <v>486</v>
      </c>
      <c r="S42" t="str">
        <v>Mushroom</v>
      </c>
      <c r="U42" t="str">
        <f t="shared" si="0"/>
        <v>Mushroom</v>
      </c>
      <c r="V42" t="b">
        <f t="shared" si="1"/>
        <v>1</v>
      </c>
      <c r="AC42" t="str">
        <v>38 Currency</v>
      </c>
      <c r="AE42" t="str">
        <f t="shared" si="2"/>
        <v>Currency</v>
      </c>
      <c r="AF42" t="b">
        <f t="shared" si="3"/>
        <v>0</v>
      </c>
    </row>
    <row r="43" spans="1:32">
      <c r="B43" s="57" t="s">
        <v>486</v>
      </c>
      <c r="S43" t="str">
        <v>38 Currency</v>
      </c>
      <c r="U43" t="str">
        <f t="shared" si="0"/>
        <v>Currency</v>
      </c>
      <c r="V43" t="b">
        <f t="shared" si="1"/>
        <v>0</v>
      </c>
      <c r="AC43" t="str">
        <v>22 Raid Cards</v>
      </c>
      <c r="AE43" t="str">
        <f t="shared" si="2"/>
        <v>Raid Cards</v>
      </c>
      <c r="AF43" t="b">
        <f t="shared" si="3"/>
        <v>0</v>
      </c>
    </row>
    <row r="44" spans="1:32">
      <c r="B44" s="57" t="s">
        <v>486</v>
      </c>
      <c r="S44" t="str">
        <v xml:space="preserve">Event Equipment </v>
      </c>
      <c r="U44" t="str">
        <f t="shared" si="0"/>
        <v xml:space="preserve">Event Equipment </v>
      </c>
      <c r="V44" t="b">
        <f t="shared" si="1"/>
        <v>0</v>
      </c>
      <c r="AC44" t="str">
        <v>8 Hero Weapons</v>
      </c>
      <c r="AE44" t="str">
        <f t="shared" si="2"/>
        <v>Hero Weapons</v>
      </c>
      <c r="AF44" t="b">
        <f t="shared" si="3"/>
        <v>0</v>
      </c>
    </row>
    <row r="45" spans="1:32">
      <c r="B45" s="57" t="s">
        <v>486</v>
      </c>
      <c r="S45" t="str">
        <v>22 Raid Cards</v>
      </c>
      <c r="U45" t="str">
        <f t="shared" si="0"/>
        <v>Raid Cards</v>
      </c>
      <c r="V45" t="b">
        <f t="shared" si="1"/>
        <v>0</v>
      </c>
      <c r="AC45" t="str">
        <v>238 Currency</v>
      </c>
      <c r="AE45" t="str">
        <f t="shared" si="2"/>
        <v>Currency</v>
      </c>
      <c r="AF45" t="b">
        <f t="shared" si="3"/>
        <v>0</v>
      </c>
    </row>
    <row r="46" spans="1:32">
      <c r="B46" s="57" t="s">
        <v>486</v>
      </c>
      <c r="S46" t="str">
        <v>8 Hero Weapons</v>
      </c>
      <c r="U46" t="str">
        <f t="shared" si="0"/>
        <v>Hero Weapons</v>
      </c>
      <c r="V46" t="b">
        <f t="shared" si="1"/>
        <v>0</v>
      </c>
      <c r="AC46" t="str">
        <v>6 Pet Eggs</v>
      </c>
      <c r="AE46" t="str">
        <f t="shared" si="2"/>
        <v>Pet Eggs</v>
      </c>
      <c r="AF46" t="b">
        <f t="shared" si="3"/>
        <v>0</v>
      </c>
    </row>
    <row r="47" spans="1:32">
      <c r="B47" s="57" t="s">
        <v>486</v>
      </c>
      <c r="S47" t="str">
        <v>238 Currency</v>
      </c>
      <c r="U47" t="str">
        <f t="shared" si="0"/>
        <v>Currency</v>
      </c>
      <c r="V47" t="b">
        <f t="shared" si="1"/>
        <v>0</v>
      </c>
      <c r="AC47" t="str">
        <v>Sand</v>
      </c>
      <c r="AE47" t="str">
        <f t="shared" si="2"/>
        <v>Sand</v>
      </c>
      <c r="AF47" t="b">
        <f t="shared" si="3"/>
        <v>1</v>
      </c>
    </row>
    <row r="48" spans="1:32">
      <c r="B48" s="57" t="s">
        <v>486</v>
      </c>
      <c r="S48" t="str">
        <v>6 Pet Eggs</v>
      </c>
      <c r="U48" t="str">
        <f t="shared" si="0"/>
        <v>Pet Eggs</v>
      </c>
      <c r="V48" t="b">
        <f t="shared" si="1"/>
        <v>0</v>
      </c>
      <c r="AC48" t="str">
        <v>4 Raid Cards</v>
      </c>
      <c r="AE48" t="str">
        <f t="shared" si="2"/>
        <v>Raid Cards</v>
      </c>
      <c r="AF48" t="b">
        <f t="shared" si="3"/>
        <v>0</v>
      </c>
    </row>
    <row r="49" spans="2:32">
      <c r="B49" s="57" t="s">
        <v>486</v>
      </c>
      <c r="S49" t="str">
        <v>Sand</v>
      </c>
      <c r="U49" t="str">
        <f t="shared" si="0"/>
        <v>Sand</v>
      </c>
      <c r="V49" t="b">
        <f t="shared" si="1"/>
        <v>1</v>
      </c>
      <c r="AC49" t="str">
        <v>39 Pet Eggs</v>
      </c>
      <c r="AE49" t="str">
        <f t="shared" si="2"/>
        <v>Pet Eggs</v>
      </c>
      <c r="AF49" t="b">
        <f t="shared" si="3"/>
        <v>0</v>
      </c>
    </row>
    <row r="50" spans="2:32">
      <c r="B50" s="57" t="s">
        <v>486</v>
      </c>
      <c r="S50" t="str">
        <v>40 Raid Cards</v>
      </c>
      <c r="U50" t="str">
        <f t="shared" si="0"/>
        <v>Raid Cards</v>
      </c>
      <c r="V50" t="b">
        <f t="shared" si="1"/>
        <v>0</v>
      </c>
      <c r="AC50" t="str">
        <v>52 Currency</v>
      </c>
      <c r="AE50" t="str">
        <f t="shared" si="2"/>
        <v>Currency</v>
      </c>
      <c r="AF50" t="b">
        <f t="shared" si="3"/>
        <v>0</v>
      </c>
    </row>
    <row r="51" spans="2:32">
      <c r="B51" s="57" t="s">
        <v>486</v>
      </c>
      <c r="S51" t="str">
        <v>39 Pet Eggs</v>
      </c>
      <c r="U51" t="str">
        <f t="shared" si="0"/>
        <v>Pet Eggs</v>
      </c>
      <c r="V51" t="b">
        <f t="shared" si="1"/>
        <v>0</v>
      </c>
      <c r="AC51" t="str">
        <v>Legendary Equipment</v>
      </c>
      <c r="AE51" t="str">
        <f t="shared" si="2"/>
        <v>Legendary Equipment</v>
      </c>
      <c r="AF51" t="b">
        <f t="shared" si="3"/>
        <v>0</v>
      </c>
    </row>
    <row r="52" spans="2:32">
      <c r="B52" s="57" t="s">
        <v>486</v>
      </c>
      <c r="S52" t="str">
        <v>52 Currency</v>
      </c>
      <c r="U52" t="str">
        <f t="shared" si="0"/>
        <v>Currency</v>
      </c>
      <c r="V52" t="b">
        <f t="shared" si="1"/>
        <v>0</v>
      </c>
      <c r="AC52" t="str">
        <v>Beetle</v>
      </c>
      <c r="AE52" t="str">
        <f t="shared" si="2"/>
        <v>Beetle</v>
      </c>
      <c r="AF52" t="b">
        <f t="shared" si="3"/>
        <v>1</v>
      </c>
    </row>
    <row r="53" spans="2:32">
      <c r="B53" s="57" t="s">
        <v>486</v>
      </c>
      <c r="S53" t="str">
        <v>Legendary Equip (Shadowgold Armor)</v>
      </c>
      <c r="U53" t="str">
        <f t="shared" si="0"/>
        <v>Legendary Equip (Shadowgold Armor)</v>
      </c>
      <c r="V53" t="b">
        <f t="shared" si="1"/>
        <v>0</v>
      </c>
      <c r="AC53" t="str">
        <v>13 Pet Eggs</v>
      </c>
      <c r="AE53" t="str">
        <f t="shared" si="2"/>
        <v>Pet Eggs</v>
      </c>
      <c r="AF53" t="b">
        <f t="shared" si="3"/>
        <v>0</v>
      </c>
    </row>
    <row r="54" spans="2:32">
      <c r="B54" s="57" t="s">
        <v>486</v>
      </c>
      <c r="S54" t="str">
        <v>Beetle</v>
      </c>
      <c r="U54" t="str">
        <f t="shared" si="0"/>
        <v>Beetle</v>
      </c>
      <c r="V54" t="b">
        <f t="shared" si="1"/>
        <v>1</v>
      </c>
      <c r="AC54" t="str">
        <v>8 Currency</v>
      </c>
      <c r="AE54" t="str">
        <f t="shared" si="2"/>
        <v>Currency</v>
      </c>
      <c r="AF54" t="b">
        <f t="shared" si="3"/>
        <v>0</v>
      </c>
    </row>
    <row r="55" spans="2:32">
      <c r="B55" s="57" t="s">
        <v>486</v>
      </c>
      <c r="S55" t="str">
        <v>13 Pet Eggs</v>
      </c>
      <c r="U55" t="str">
        <f t="shared" si="0"/>
        <v>Pet Eggs</v>
      </c>
      <c r="V55" t="b">
        <f t="shared" si="1"/>
        <v>0</v>
      </c>
      <c r="AC55" t="str">
        <v>26 Raid Cards</v>
      </c>
      <c r="AE55" t="str">
        <f t="shared" si="2"/>
        <v>Raid Cards</v>
      </c>
      <c r="AF55" t="b">
        <f t="shared" si="3"/>
        <v>0</v>
      </c>
    </row>
    <row r="56" spans="2:32">
      <c r="B56" s="57" t="s">
        <v>486</v>
      </c>
      <c r="S56" t="str">
        <v>80 Currency</v>
      </c>
      <c r="U56" t="str">
        <f t="shared" si="0"/>
        <v>Currency</v>
      </c>
      <c r="V56" t="b">
        <f t="shared" si="1"/>
        <v>0</v>
      </c>
      <c r="AC56" t="str">
        <v>136 Currency</v>
      </c>
      <c r="AE56" t="str">
        <f t="shared" si="2"/>
        <v>Currency</v>
      </c>
      <c r="AF56" t="b">
        <f t="shared" si="3"/>
        <v>0</v>
      </c>
    </row>
    <row r="57" spans="2:32">
      <c r="B57" s="57" t="s">
        <v>486</v>
      </c>
      <c r="S57" t="str">
        <v>26 Raid Cards</v>
      </c>
      <c r="U57" t="str">
        <f t="shared" si="0"/>
        <v>Raid Cards</v>
      </c>
      <c r="V57" t="b">
        <f t="shared" si="1"/>
        <v>0</v>
      </c>
      <c r="AC57" t="str">
        <v>45 Raid Cards</v>
      </c>
      <c r="AE57" t="str">
        <f t="shared" si="2"/>
        <v>Raid Cards</v>
      </c>
      <c r="AF57" t="b">
        <f t="shared" si="3"/>
        <v>0</v>
      </c>
    </row>
    <row r="58" spans="2:32">
      <c r="B58" s="57" t="s">
        <v>486</v>
      </c>
      <c r="S58" t="str">
        <v>136 Currency</v>
      </c>
      <c r="U58" t="str">
        <f t="shared" si="0"/>
        <v>Currency</v>
      </c>
      <c r="V58" t="b">
        <f t="shared" si="1"/>
        <v>0</v>
      </c>
      <c r="AC58" t="str">
        <v>252 Currency</v>
      </c>
      <c r="AE58" t="str">
        <f t="shared" si="2"/>
        <v>Currency</v>
      </c>
      <c r="AF58" t="b">
        <f t="shared" si="3"/>
        <v>0</v>
      </c>
    </row>
    <row r="59" spans="2:32">
      <c r="S59" t="str">
        <v>45 Raid Cards</v>
      </c>
      <c r="U59" t="str">
        <f t="shared" si="0"/>
        <v>Raid Cards</v>
      </c>
      <c r="V59" t="b">
        <f t="shared" si="1"/>
        <v>0</v>
      </c>
      <c r="AC59" t="str">
        <v>Lightning</v>
      </c>
      <c r="AE59" t="str">
        <f t="shared" si="2"/>
        <v>Lightning</v>
      </c>
      <c r="AF59" t="b">
        <f t="shared" si="3"/>
        <v>1</v>
      </c>
    </row>
    <row r="60" spans="2:32">
      <c r="S60" t="str">
        <v>252 Currency</v>
      </c>
      <c r="U60" t="str">
        <f t="shared" si="0"/>
        <v>Currency</v>
      </c>
      <c r="V60" t="b">
        <f t="shared" si="1"/>
        <v>0</v>
      </c>
      <c r="AC60" t="str">
        <v>22 Pet Eggs</v>
      </c>
      <c r="AE60" t="str">
        <f t="shared" si="2"/>
        <v>Pet Eggs</v>
      </c>
      <c r="AF60" t="b">
        <f t="shared" si="3"/>
        <v>0</v>
      </c>
    </row>
    <row r="61" spans="2:32">
      <c r="S61" t="str">
        <v>Lightning</v>
      </c>
      <c r="U61" t="str">
        <f t="shared" si="0"/>
        <v>Lightning</v>
      </c>
      <c r="V61" t="b">
        <f t="shared" si="1"/>
        <v>1</v>
      </c>
      <c r="AC61" t="str">
        <v>19 Crafting Shards</v>
      </c>
      <c r="AE61" t="str">
        <f t="shared" si="2"/>
        <v>Crafting Shards</v>
      </c>
      <c r="AF61" t="b">
        <f t="shared" si="3"/>
        <v>0</v>
      </c>
    </row>
    <row r="62" spans="2:32">
      <c r="S62" t="str">
        <v>Legendary Equipment (Shadowgold Goblet)</v>
      </c>
      <c r="U62" t="str">
        <f t="shared" si="0"/>
        <v>Legendary Equipment (Shadowgold Goblet)</v>
      </c>
      <c r="V62" t="b">
        <f t="shared" si="1"/>
        <v>0</v>
      </c>
      <c r="AC62" t="str">
        <v>3 Fortune Scrolls</v>
      </c>
      <c r="AE62" t="str">
        <f t="shared" si="2"/>
        <v>Fortune Scrolls</v>
      </c>
      <c r="AF62" t="b">
        <f t="shared" si="3"/>
        <v>0</v>
      </c>
    </row>
    <row r="63" spans="2:32">
      <c r="S63" t="str">
        <v>22 Pet Eggs</v>
      </c>
      <c r="U63" t="str">
        <f t="shared" si="0"/>
        <v>Pet Eggs</v>
      </c>
      <c r="V63" t="b">
        <f t="shared" si="1"/>
        <v>0</v>
      </c>
      <c r="AC63" t="str">
        <v>3 Skill Points</v>
      </c>
      <c r="AE63" t="str">
        <f t="shared" si="2"/>
        <v>Skill Points</v>
      </c>
      <c r="AF63" t="b">
        <f t="shared" si="3"/>
        <v>0</v>
      </c>
    </row>
    <row r="64" spans="2:32">
      <c r="S64" t="str">
        <v>19 Crafting Shards</v>
      </c>
      <c r="U64" t="str">
        <f t="shared" si="0"/>
        <v>Crafting Shards</v>
      </c>
      <c r="V64" t="b">
        <f t="shared" si="1"/>
        <v>0</v>
      </c>
      <c r="AC64" t="str">
        <v>Essence</v>
      </c>
      <c r="AE64" t="str">
        <f t="shared" si="2"/>
        <v>Essence</v>
      </c>
      <c r="AF64" t="b">
        <f t="shared" si="3"/>
        <v>1</v>
      </c>
    </row>
    <row r="65" spans="19:32">
      <c r="S65" t="str">
        <v>3 Fortune Scrolls</v>
      </c>
      <c r="U65" t="str">
        <f t="shared" si="0"/>
        <v>Fortune Scrolls</v>
      </c>
      <c r="V65" t="b">
        <f t="shared" si="1"/>
        <v>0</v>
      </c>
      <c r="AC65" t="str">
        <v>11 Crafting Shards</v>
      </c>
      <c r="AE65" t="str">
        <f t="shared" si="2"/>
        <v>Crafting Shards</v>
      </c>
      <c r="AF65" t="b">
        <f t="shared" si="3"/>
        <v>0</v>
      </c>
    </row>
    <row r="66" spans="19:32">
      <c r="S66" t="str">
        <v>Event Equipment (Master of Elements)</v>
      </c>
      <c r="U66" t="str">
        <f t="shared" si="0"/>
        <v>Event Equipment (Master of Elements)</v>
      </c>
      <c r="V66" t="b">
        <f t="shared" si="1"/>
        <v>0</v>
      </c>
      <c r="AC66" t="str">
        <v>Flame</v>
      </c>
      <c r="AE66" t="str">
        <f t="shared" si="2"/>
        <v>Flame</v>
      </c>
      <c r="AF66" t="b">
        <f t="shared" si="3"/>
        <v>1</v>
      </c>
    </row>
    <row r="67" spans="19:32">
      <c r="S67" t="str">
        <v>3 Skill Points</v>
      </c>
      <c r="U67" t="str">
        <f t="shared" si="0"/>
        <v>Skill Points</v>
      </c>
      <c r="V67" t="b">
        <f t="shared" si="1"/>
        <v>0</v>
      </c>
      <c r="AC67" t="str">
        <v>8 Fortune Weapons</v>
      </c>
      <c r="AE67" t="str">
        <f t="shared" si="2"/>
        <v>Fortune Weapons</v>
      </c>
      <c r="AF67" t="b">
        <f t="shared" si="3"/>
        <v>0</v>
      </c>
    </row>
    <row r="68" spans="19:32">
      <c r="S68" t="str">
        <v>Essence</v>
      </c>
      <c r="U68" t="str">
        <f t="shared" ref="U68:U127" si="4">IF(ISNUMBER(1*LEFT(S68, 1)), RIGHT(S68,LEN(S68)-SEARCH(" ",S68)),S68)</f>
        <v>Essence</v>
      </c>
      <c r="V68" t="b">
        <f t="shared" ref="V68:V127" si="5">ISNUMBER(MATCH(U68,$A$3:$A$18,0))</f>
        <v>1</v>
      </c>
      <c r="AC68" t="str">
        <v>54 Raid Cards</v>
      </c>
      <c r="AE68" t="str">
        <f t="shared" ref="AE68:AE127" si="6">IF(ISNUMBER(1*LEFT(AC68, 1)), RIGHT(AC68,LEN(AC68)-SEARCH(" ",AC68)),AC68)</f>
        <v>Raid Cards</v>
      </c>
      <c r="AF68" t="b">
        <f t="shared" ref="AF68:AF127" si="7">ISNUMBER(MATCH(AE68,$A$3:$A$18,0))</f>
        <v>0</v>
      </c>
    </row>
    <row r="69" spans="19:32">
      <c r="S69" t="str">
        <v>11 Crafting Shards</v>
      </c>
      <c r="U69" t="str">
        <f t="shared" si="4"/>
        <v>Crafting Shards</v>
      </c>
      <c r="V69" t="b">
        <f t="shared" si="5"/>
        <v>0</v>
      </c>
      <c r="AC69" t="str">
        <v>Scale</v>
      </c>
      <c r="AE69" t="str">
        <f t="shared" si="6"/>
        <v>Scale</v>
      </c>
      <c r="AF69" t="b">
        <f t="shared" si="7"/>
        <v>1</v>
      </c>
    </row>
    <row r="70" spans="19:32">
      <c r="S70" t="str">
        <v>108 Currency</v>
      </c>
      <c r="U70" t="str">
        <f t="shared" si="4"/>
        <v>Currency</v>
      </c>
      <c r="V70" t="b">
        <f t="shared" si="5"/>
        <v>0</v>
      </c>
      <c r="AC70" t="str">
        <v>164 Currency</v>
      </c>
      <c r="AE70" t="str">
        <f t="shared" si="6"/>
        <v>Currency</v>
      </c>
      <c r="AF70" t="b">
        <f t="shared" si="7"/>
        <v>0</v>
      </c>
    </row>
    <row r="71" spans="19:32">
      <c r="S71" t="str">
        <v>Flame</v>
      </c>
      <c r="U71" t="str">
        <f t="shared" si="4"/>
        <v>Flame</v>
      </c>
      <c r="V71" t="b">
        <f t="shared" si="5"/>
        <v>1</v>
      </c>
      <c r="AC71" t="str">
        <v>41 Wildcards</v>
      </c>
      <c r="AE71" t="str">
        <f t="shared" si="6"/>
        <v>Wildcards</v>
      </c>
      <c r="AF71" t="b">
        <f t="shared" si="7"/>
        <v>0</v>
      </c>
    </row>
    <row r="72" spans="19:32">
      <c r="S72" t="str">
        <v>8 Fortune Weapons</v>
      </c>
      <c r="U72" t="str">
        <f t="shared" si="4"/>
        <v>Fortune Weapons</v>
      </c>
      <c r="V72" t="b">
        <f t="shared" si="5"/>
        <v>0</v>
      </c>
      <c r="AC72" t="str">
        <v>28 Currency</v>
      </c>
      <c r="AE72" t="str">
        <f t="shared" si="6"/>
        <v>Currency</v>
      </c>
      <c r="AF72" t="b">
        <f t="shared" si="7"/>
        <v>0</v>
      </c>
    </row>
    <row r="73" spans="19:32">
      <c r="S73" t="str">
        <v>54 Raid Cards</v>
      </c>
      <c r="U73" t="str">
        <f t="shared" si="4"/>
        <v>Raid Cards</v>
      </c>
      <c r="V73" t="b">
        <f t="shared" si="5"/>
        <v>0</v>
      </c>
      <c r="AC73" t="str">
        <v>4 Skill Points</v>
      </c>
      <c r="AE73" t="str">
        <f t="shared" si="6"/>
        <v>Skill Points</v>
      </c>
      <c r="AF73" t="b">
        <f t="shared" si="7"/>
        <v>0</v>
      </c>
    </row>
    <row r="74" spans="19:32">
      <c r="S74" t="str">
        <v>Legendary Equipment</v>
      </c>
      <c r="U74" t="str">
        <f t="shared" si="4"/>
        <v>Legendary Equipment</v>
      </c>
      <c r="V74" t="b">
        <f t="shared" si="5"/>
        <v>0</v>
      </c>
      <c r="AC74" t="str">
        <v>6 Skill Points</v>
      </c>
      <c r="AE74" t="str">
        <f t="shared" si="6"/>
        <v>Skill Points</v>
      </c>
      <c r="AF74" t="b">
        <f t="shared" si="7"/>
        <v>0</v>
      </c>
    </row>
    <row r="75" spans="19:32">
      <c r="S75" t="str">
        <v>Legendary Equipment (Shackles of Greed)</v>
      </c>
      <c r="U75" t="str">
        <f t="shared" si="4"/>
        <v>Legendary Equipment (Shackles of Greed)</v>
      </c>
      <c r="V75" t="b">
        <f t="shared" si="5"/>
        <v>0</v>
      </c>
      <c r="AC75" t="str">
        <v>11 Skill Points</v>
      </c>
      <c r="AE75" t="str">
        <f t="shared" si="6"/>
        <v>Skill Points</v>
      </c>
      <c r="AF75" t="b">
        <f t="shared" si="7"/>
        <v>0</v>
      </c>
    </row>
    <row r="76" spans="19:32">
      <c r="S76" t="str">
        <v>Scale</v>
      </c>
      <c r="U76" t="str">
        <f t="shared" si="4"/>
        <v>Scale</v>
      </c>
      <c r="V76" t="b">
        <f t="shared" si="5"/>
        <v>1</v>
      </c>
      <c r="AC76" t="str">
        <v>Shadow</v>
      </c>
      <c r="AE76" t="str">
        <f t="shared" si="6"/>
        <v>Shadow</v>
      </c>
      <c r="AF76" t="b">
        <f t="shared" si="7"/>
        <v>1</v>
      </c>
    </row>
    <row r="77" spans="19:32">
      <c r="S77" t="str">
        <v>164 Currency</v>
      </c>
      <c r="U77" t="str">
        <f t="shared" si="4"/>
        <v>Currency</v>
      </c>
      <c r="V77" t="b">
        <f t="shared" si="5"/>
        <v>0</v>
      </c>
      <c r="AC77" t="str">
        <v>11 Fortune Weapons</v>
      </c>
      <c r="AE77" t="str">
        <f t="shared" si="6"/>
        <v>Fortune Weapons</v>
      </c>
      <c r="AF77" t="b">
        <f t="shared" si="7"/>
        <v>0</v>
      </c>
    </row>
    <row r="78" spans="19:32">
      <c r="S78" t="str">
        <v>41 Wildcards</v>
      </c>
      <c r="U78" t="str">
        <f t="shared" si="4"/>
        <v>Wildcards</v>
      </c>
      <c r="V78" t="b">
        <f t="shared" si="5"/>
        <v>0</v>
      </c>
      <c r="AC78" t="str">
        <v>22 Currency</v>
      </c>
      <c r="AE78" t="str">
        <f t="shared" si="6"/>
        <v>Currency</v>
      </c>
      <c r="AF78" t="b">
        <f t="shared" si="7"/>
        <v>0</v>
      </c>
    </row>
    <row r="79" spans="19:32">
      <c r="S79" t="str">
        <v>280 Currency</v>
      </c>
      <c r="U79" t="str">
        <f t="shared" si="4"/>
        <v>Currency</v>
      </c>
      <c r="V79" t="b">
        <f t="shared" si="5"/>
        <v>0</v>
      </c>
      <c r="AC79" t="str">
        <v>84 Wildcards</v>
      </c>
      <c r="AE79" t="str">
        <f t="shared" si="6"/>
        <v>Wildcards</v>
      </c>
      <c r="AF79" t="b">
        <f t="shared" si="7"/>
        <v>0</v>
      </c>
    </row>
    <row r="80" spans="19:32">
      <c r="S80" t="str">
        <v>4 Skill Points</v>
      </c>
      <c r="U80" t="str">
        <f t="shared" si="4"/>
        <v>Skill Points</v>
      </c>
      <c r="V80" t="b">
        <f t="shared" si="5"/>
        <v>0</v>
      </c>
      <c r="AC80" t="str">
        <v>2 Fortune Scrolls</v>
      </c>
      <c r="AE80" t="str">
        <f t="shared" si="6"/>
        <v>Fortune Scrolls</v>
      </c>
      <c r="AF80" t="b">
        <f t="shared" si="7"/>
        <v>0</v>
      </c>
    </row>
    <row r="81" spans="19:32">
      <c r="S81" t="str">
        <v>6 Skill Point</v>
      </c>
      <c r="U81" t="str">
        <f t="shared" si="4"/>
        <v>Skill Point</v>
      </c>
      <c r="V81" t="b">
        <f t="shared" si="5"/>
        <v>0</v>
      </c>
      <c r="AC81" t="str">
        <v>336 Currency</v>
      </c>
      <c r="AE81" t="str">
        <f t="shared" si="6"/>
        <v>Currency</v>
      </c>
      <c r="AF81" t="b">
        <f t="shared" si="7"/>
        <v>0</v>
      </c>
    </row>
    <row r="82" spans="19:32">
      <c r="S82" t="str">
        <v>11 Skill Points</v>
      </c>
      <c r="U82" t="str">
        <f t="shared" si="4"/>
        <v>Skill Points</v>
      </c>
      <c r="V82" t="b">
        <f t="shared" si="5"/>
        <v>0</v>
      </c>
      <c r="AC82" t="str">
        <v>1 Legendary Equipment</v>
      </c>
      <c r="AE82" t="str">
        <f t="shared" si="6"/>
        <v>Legendary Equipment</v>
      </c>
      <c r="AF82" t="b">
        <f t="shared" si="7"/>
        <v>0</v>
      </c>
    </row>
    <row r="83" spans="19:32">
      <c r="S83" t="str">
        <v>Shadow</v>
      </c>
      <c r="U83" t="str">
        <f t="shared" si="4"/>
        <v>Shadow</v>
      </c>
      <c r="V83" t="b">
        <f t="shared" si="5"/>
        <v>1</v>
      </c>
      <c r="AE83">
        <f t="shared" si="6"/>
        <v>0</v>
      </c>
      <c r="AF83" t="b">
        <f t="shared" si="7"/>
        <v>0</v>
      </c>
    </row>
    <row r="84" spans="19:32">
      <c r="S84" t="str">
        <v>11 Fortune Weapons</v>
      </c>
      <c r="U84" t="str">
        <f t="shared" si="4"/>
        <v>Fortune Weapons</v>
      </c>
      <c r="V84" t="b">
        <f t="shared" si="5"/>
        <v>0</v>
      </c>
      <c r="AE84">
        <f t="shared" si="6"/>
        <v>0</v>
      </c>
      <c r="AF84" t="b">
        <f t="shared" si="7"/>
        <v>0</v>
      </c>
    </row>
    <row r="85" spans="19:32">
      <c r="S85" t="str">
        <v>220 Currency</v>
      </c>
      <c r="U85" t="str">
        <f t="shared" si="4"/>
        <v>Currency</v>
      </c>
      <c r="V85" t="b">
        <f t="shared" si="5"/>
        <v>0</v>
      </c>
      <c r="AE85">
        <f t="shared" si="6"/>
        <v>0</v>
      </c>
      <c r="AF85" t="b">
        <f t="shared" si="7"/>
        <v>0</v>
      </c>
    </row>
    <row r="86" spans="19:32">
      <c r="S86" t="str">
        <v>84 Wildcards</v>
      </c>
      <c r="U86" t="str">
        <f t="shared" si="4"/>
        <v>Wildcards</v>
      </c>
      <c r="V86" t="b">
        <f t="shared" si="5"/>
        <v>0</v>
      </c>
      <c r="AE86">
        <f t="shared" si="6"/>
        <v>0</v>
      </c>
      <c r="AF86" t="b">
        <f t="shared" si="7"/>
        <v>0</v>
      </c>
    </row>
    <row r="87" spans="19:32">
      <c r="S87" t="str">
        <v>2 Fortune Scrolls</v>
      </c>
      <c r="U87" t="str">
        <f t="shared" si="4"/>
        <v>Fortune Scrolls</v>
      </c>
      <c r="V87" t="b">
        <f t="shared" si="5"/>
        <v>0</v>
      </c>
      <c r="AE87">
        <f t="shared" si="6"/>
        <v>0</v>
      </c>
      <c r="AF87" t="b">
        <f t="shared" si="7"/>
        <v>0</v>
      </c>
    </row>
    <row r="88" spans="19:32">
      <c r="S88" t="str">
        <v>336 Currency</v>
      </c>
      <c r="U88" t="str">
        <f t="shared" si="4"/>
        <v>Currency</v>
      </c>
      <c r="V88" t="b">
        <f t="shared" si="5"/>
        <v>0</v>
      </c>
      <c r="AE88">
        <f t="shared" si="6"/>
        <v>0</v>
      </c>
      <c r="AF88" t="b">
        <f t="shared" si="7"/>
        <v>0</v>
      </c>
    </row>
    <row r="89" spans="19:32">
      <c r="S89" t="str">
        <v>1 Legendary Insult</v>
      </c>
      <c r="U89" t="str">
        <f t="shared" si="4"/>
        <v>Legendary Insult</v>
      </c>
      <c r="V89" t="b">
        <f t="shared" si="5"/>
        <v>0</v>
      </c>
      <c r="AE89">
        <f t="shared" si="6"/>
        <v>0</v>
      </c>
      <c r="AF89" t="b">
        <f t="shared" si="7"/>
        <v>0</v>
      </c>
    </row>
    <row r="90" spans="19:32">
      <c r="U90">
        <f t="shared" si="4"/>
        <v>0</v>
      </c>
      <c r="V90" t="b">
        <f t="shared" si="5"/>
        <v>0</v>
      </c>
      <c r="AE90">
        <f t="shared" si="6"/>
        <v>0</v>
      </c>
      <c r="AF90" t="b">
        <f t="shared" si="7"/>
        <v>0</v>
      </c>
    </row>
    <row r="91" spans="19:32">
      <c r="U91">
        <f t="shared" si="4"/>
        <v>0</v>
      </c>
      <c r="V91" t="b">
        <f t="shared" si="5"/>
        <v>0</v>
      </c>
      <c r="AE91">
        <f t="shared" si="6"/>
        <v>0</v>
      </c>
      <c r="AF91" t="b">
        <f t="shared" si="7"/>
        <v>0</v>
      </c>
    </row>
    <row r="92" spans="19:32">
      <c r="U92">
        <f t="shared" si="4"/>
        <v>0</v>
      </c>
      <c r="V92" t="b">
        <f t="shared" si="5"/>
        <v>0</v>
      </c>
      <c r="AE92">
        <f t="shared" si="6"/>
        <v>0</v>
      </c>
      <c r="AF92" t="b">
        <f t="shared" si="7"/>
        <v>0</v>
      </c>
    </row>
    <row r="93" spans="19:32">
      <c r="U93">
        <f t="shared" si="4"/>
        <v>0</v>
      </c>
      <c r="V93" t="b">
        <f t="shared" si="5"/>
        <v>0</v>
      </c>
      <c r="AE93">
        <f t="shared" si="6"/>
        <v>0</v>
      </c>
      <c r="AF93" t="b">
        <f t="shared" si="7"/>
        <v>0</v>
      </c>
    </row>
    <row r="94" spans="19:32">
      <c r="U94">
        <f t="shared" si="4"/>
        <v>0</v>
      </c>
      <c r="V94" t="b">
        <f t="shared" si="5"/>
        <v>0</v>
      </c>
      <c r="AE94">
        <f t="shared" si="6"/>
        <v>0</v>
      </c>
      <c r="AF94" t="b">
        <f t="shared" si="7"/>
        <v>0</v>
      </c>
    </row>
    <row r="95" spans="19:32">
      <c r="U95">
        <f t="shared" si="4"/>
        <v>0</v>
      </c>
      <c r="V95" t="b">
        <f t="shared" si="5"/>
        <v>0</v>
      </c>
      <c r="AE95">
        <f t="shared" si="6"/>
        <v>0</v>
      </c>
      <c r="AF95" t="b">
        <f t="shared" si="7"/>
        <v>0</v>
      </c>
    </row>
    <row r="96" spans="19:32">
      <c r="U96">
        <f t="shared" si="4"/>
        <v>0</v>
      </c>
      <c r="V96" t="b">
        <f t="shared" si="5"/>
        <v>0</v>
      </c>
      <c r="AE96">
        <f t="shared" si="6"/>
        <v>0</v>
      </c>
      <c r="AF96" t="b">
        <f t="shared" si="7"/>
        <v>0</v>
      </c>
    </row>
    <row r="97" spans="21:32">
      <c r="U97">
        <f t="shared" si="4"/>
        <v>0</v>
      </c>
      <c r="V97" t="b">
        <f t="shared" si="5"/>
        <v>0</v>
      </c>
      <c r="AE97">
        <f t="shared" si="6"/>
        <v>0</v>
      </c>
      <c r="AF97" t="b">
        <f t="shared" si="7"/>
        <v>0</v>
      </c>
    </row>
    <row r="98" spans="21:32">
      <c r="U98">
        <f t="shared" si="4"/>
        <v>0</v>
      </c>
      <c r="V98" t="b">
        <f t="shared" si="5"/>
        <v>0</v>
      </c>
      <c r="AE98">
        <f t="shared" si="6"/>
        <v>0</v>
      </c>
      <c r="AF98" t="b">
        <f t="shared" si="7"/>
        <v>0</v>
      </c>
    </row>
    <row r="99" spans="21:32">
      <c r="U99">
        <f t="shared" si="4"/>
        <v>0</v>
      </c>
      <c r="V99" t="b">
        <f t="shared" si="5"/>
        <v>0</v>
      </c>
      <c r="AE99">
        <f t="shared" si="6"/>
        <v>0</v>
      </c>
      <c r="AF99" t="b">
        <f t="shared" si="7"/>
        <v>0</v>
      </c>
    </row>
    <row r="100" spans="21:32">
      <c r="U100">
        <f t="shared" si="4"/>
        <v>0</v>
      </c>
      <c r="V100" t="b">
        <f t="shared" si="5"/>
        <v>0</v>
      </c>
      <c r="AE100">
        <f t="shared" si="6"/>
        <v>0</v>
      </c>
      <c r="AF100" t="b">
        <f t="shared" si="7"/>
        <v>0</v>
      </c>
    </row>
    <row r="101" spans="21:32">
      <c r="U101">
        <f t="shared" si="4"/>
        <v>0</v>
      </c>
      <c r="V101" t="b">
        <f t="shared" si="5"/>
        <v>0</v>
      </c>
      <c r="AE101">
        <f t="shared" si="6"/>
        <v>0</v>
      </c>
      <c r="AF101" t="b">
        <f t="shared" si="7"/>
        <v>0</v>
      </c>
    </row>
    <row r="102" spans="21:32">
      <c r="U102">
        <f t="shared" si="4"/>
        <v>0</v>
      </c>
      <c r="V102" t="b">
        <f t="shared" si="5"/>
        <v>0</v>
      </c>
      <c r="AE102">
        <f t="shared" si="6"/>
        <v>0</v>
      </c>
      <c r="AF102" t="b">
        <f t="shared" si="7"/>
        <v>0</v>
      </c>
    </row>
    <row r="103" spans="21:32">
      <c r="U103">
        <f t="shared" si="4"/>
        <v>0</v>
      </c>
      <c r="V103" t="b">
        <f t="shared" si="5"/>
        <v>0</v>
      </c>
      <c r="AE103">
        <f t="shared" si="6"/>
        <v>0</v>
      </c>
      <c r="AF103" t="b">
        <f t="shared" si="7"/>
        <v>0</v>
      </c>
    </row>
    <row r="104" spans="21:32">
      <c r="U104">
        <f t="shared" si="4"/>
        <v>0</v>
      </c>
      <c r="V104" t="b">
        <f t="shared" si="5"/>
        <v>0</v>
      </c>
      <c r="AE104">
        <f t="shared" si="6"/>
        <v>0</v>
      </c>
      <c r="AF104" t="b">
        <f t="shared" si="7"/>
        <v>0</v>
      </c>
    </row>
    <row r="105" spans="21:32">
      <c r="U105">
        <f t="shared" si="4"/>
        <v>0</v>
      </c>
      <c r="V105" t="b">
        <f t="shared" si="5"/>
        <v>0</v>
      </c>
      <c r="AE105">
        <f t="shared" si="6"/>
        <v>0</v>
      </c>
      <c r="AF105" t="b">
        <f t="shared" si="7"/>
        <v>0</v>
      </c>
    </row>
    <row r="106" spans="21:32">
      <c r="U106">
        <f t="shared" si="4"/>
        <v>0</v>
      </c>
      <c r="V106" t="b">
        <f t="shared" si="5"/>
        <v>0</v>
      </c>
      <c r="AE106">
        <f t="shared" si="6"/>
        <v>0</v>
      </c>
      <c r="AF106" t="b">
        <f t="shared" si="7"/>
        <v>0</v>
      </c>
    </row>
    <row r="107" spans="21:32">
      <c r="U107">
        <f t="shared" si="4"/>
        <v>0</v>
      </c>
      <c r="V107" t="b">
        <f t="shared" si="5"/>
        <v>0</v>
      </c>
      <c r="AE107">
        <f t="shared" si="6"/>
        <v>0</v>
      </c>
      <c r="AF107" t="b">
        <f t="shared" si="7"/>
        <v>0</v>
      </c>
    </row>
    <row r="108" spans="21:32">
      <c r="U108">
        <f t="shared" si="4"/>
        <v>0</v>
      </c>
      <c r="V108" t="b">
        <f t="shared" si="5"/>
        <v>0</v>
      </c>
      <c r="AE108">
        <f t="shared" si="6"/>
        <v>0</v>
      </c>
      <c r="AF108" t="b">
        <f t="shared" si="7"/>
        <v>0</v>
      </c>
    </row>
    <row r="109" spans="21:32">
      <c r="U109">
        <f t="shared" si="4"/>
        <v>0</v>
      </c>
      <c r="V109" t="b">
        <f t="shared" si="5"/>
        <v>0</v>
      </c>
      <c r="AE109">
        <f t="shared" si="6"/>
        <v>0</v>
      </c>
      <c r="AF109" t="b">
        <f t="shared" si="7"/>
        <v>0</v>
      </c>
    </row>
    <row r="110" spans="21:32">
      <c r="U110">
        <f t="shared" si="4"/>
        <v>0</v>
      </c>
      <c r="V110" t="b">
        <f t="shared" si="5"/>
        <v>0</v>
      </c>
      <c r="AE110">
        <f t="shared" si="6"/>
        <v>0</v>
      </c>
      <c r="AF110" t="b">
        <f t="shared" si="7"/>
        <v>0</v>
      </c>
    </row>
    <row r="111" spans="21:32">
      <c r="U111">
        <f t="shared" si="4"/>
        <v>0</v>
      </c>
      <c r="V111" t="b">
        <f t="shared" si="5"/>
        <v>0</v>
      </c>
      <c r="AE111">
        <f t="shared" si="6"/>
        <v>0</v>
      </c>
      <c r="AF111" t="b">
        <f t="shared" si="7"/>
        <v>0</v>
      </c>
    </row>
    <row r="112" spans="21:32">
      <c r="U112">
        <f t="shared" si="4"/>
        <v>0</v>
      </c>
      <c r="V112" t="b">
        <f t="shared" si="5"/>
        <v>0</v>
      </c>
      <c r="AE112">
        <f t="shared" si="6"/>
        <v>0</v>
      </c>
      <c r="AF112" t="b">
        <f t="shared" si="7"/>
        <v>0</v>
      </c>
    </row>
    <row r="113" spans="21:32">
      <c r="U113">
        <f t="shared" si="4"/>
        <v>0</v>
      </c>
      <c r="V113" t="b">
        <f t="shared" si="5"/>
        <v>0</v>
      </c>
      <c r="AE113">
        <f t="shared" si="6"/>
        <v>0</v>
      </c>
      <c r="AF113" t="b">
        <f t="shared" si="7"/>
        <v>0</v>
      </c>
    </row>
    <row r="114" spans="21:32">
      <c r="U114">
        <f t="shared" si="4"/>
        <v>0</v>
      </c>
      <c r="V114" t="b">
        <f t="shared" si="5"/>
        <v>0</v>
      </c>
      <c r="AE114">
        <f t="shared" si="6"/>
        <v>0</v>
      </c>
      <c r="AF114" t="b">
        <f t="shared" si="7"/>
        <v>0</v>
      </c>
    </row>
    <row r="115" spans="21:32">
      <c r="U115">
        <f t="shared" si="4"/>
        <v>0</v>
      </c>
      <c r="V115" t="b">
        <f t="shared" si="5"/>
        <v>0</v>
      </c>
      <c r="AE115">
        <f t="shared" si="6"/>
        <v>0</v>
      </c>
      <c r="AF115" t="b">
        <f t="shared" si="7"/>
        <v>0</v>
      </c>
    </row>
    <row r="116" spans="21:32">
      <c r="U116">
        <f t="shared" si="4"/>
        <v>0</v>
      </c>
      <c r="V116" t="b">
        <f t="shared" si="5"/>
        <v>0</v>
      </c>
      <c r="AE116">
        <f t="shared" si="6"/>
        <v>0</v>
      </c>
      <c r="AF116" t="b">
        <f t="shared" si="7"/>
        <v>0</v>
      </c>
    </row>
    <row r="117" spans="21:32">
      <c r="U117">
        <f t="shared" si="4"/>
        <v>0</v>
      </c>
      <c r="V117" t="b">
        <f t="shared" si="5"/>
        <v>0</v>
      </c>
      <c r="AE117">
        <f t="shared" si="6"/>
        <v>0</v>
      </c>
      <c r="AF117" t="b">
        <f t="shared" si="7"/>
        <v>0</v>
      </c>
    </row>
    <row r="118" spans="21:32">
      <c r="U118">
        <f t="shared" si="4"/>
        <v>0</v>
      </c>
      <c r="V118" t="b">
        <f t="shared" si="5"/>
        <v>0</v>
      </c>
      <c r="AE118">
        <f t="shared" si="6"/>
        <v>0</v>
      </c>
      <c r="AF118" t="b">
        <f t="shared" si="7"/>
        <v>0</v>
      </c>
    </row>
    <row r="119" spans="21:32">
      <c r="U119">
        <f t="shared" si="4"/>
        <v>0</v>
      </c>
      <c r="V119" t="b">
        <f t="shared" si="5"/>
        <v>0</v>
      </c>
      <c r="AE119">
        <f t="shared" si="6"/>
        <v>0</v>
      </c>
      <c r="AF119" t="b">
        <f t="shared" si="7"/>
        <v>0</v>
      </c>
    </row>
    <row r="120" spans="21:32">
      <c r="U120">
        <f t="shared" si="4"/>
        <v>0</v>
      </c>
      <c r="V120" t="b">
        <f t="shared" si="5"/>
        <v>0</v>
      </c>
      <c r="AE120">
        <f t="shared" si="6"/>
        <v>0</v>
      </c>
      <c r="AF120" t="b">
        <f t="shared" si="7"/>
        <v>0</v>
      </c>
    </row>
    <row r="121" spans="21:32">
      <c r="U121">
        <f t="shared" si="4"/>
        <v>0</v>
      </c>
      <c r="V121" t="b">
        <f t="shared" si="5"/>
        <v>0</v>
      </c>
      <c r="AE121">
        <f t="shared" si="6"/>
        <v>0</v>
      </c>
      <c r="AF121" t="b">
        <f t="shared" si="7"/>
        <v>0</v>
      </c>
    </row>
    <row r="122" spans="21:32">
      <c r="U122">
        <f t="shared" si="4"/>
        <v>0</v>
      </c>
      <c r="V122" t="b">
        <f t="shared" si="5"/>
        <v>0</v>
      </c>
      <c r="AE122">
        <f t="shared" si="6"/>
        <v>0</v>
      </c>
      <c r="AF122" t="b">
        <f t="shared" si="7"/>
        <v>0</v>
      </c>
    </row>
    <row r="123" spans="21:32">
      <c r="U123">
        <f t="shared" si="4"/>
        <v>0</v>
      </c>
      <c r="V123" t="b">
        <f t="shared" si="5"/>
        <v>0</v>
      </c>
      <c r="AE123">
        <f t="shared" si="6"/>
        <v>0</v>
      </c>
      <c r="AF123" t="b">
        <f t="shared" si="7"/>
        <v>0</v>
      </c>
    </row>
    <row r="124" spans="21:32">
      <c r="U124">
        <f t="shared" si="4"/>
        <v>0</v>
      </c>
      <c r="V124" t="b">
        <f t="shared" si="5"/>
        <v>0</v>
      </c>
      <c r="AE124">
        <f t="shared" si="6"/>
        <v>0</v>
      </c>
      <c r="AF124" t="b">
        <f t="shared" si="7"/>
        <v>0</v>
      </c>
    </row>
    <row r="125" spans="21:32">
      <c r="U125">
        <f t="shared" si="4"/>
        <v>0</v>
      </c>
      <c r="V125" t="b">
        <f t="shared" si="5"/>
        <v>0</v>
      </c>
      <c r="AE125">
        <f t="shared" si="6"/>
        <v>0</v>
      </c>
      <c r="AF125" t="b">
        <f t="shared" si="7"/>
        <v>0</v>
      </c>
    </row>
    <row r="126" spans="21:32">
      <c r="U126">
        <f t="shared" si="4"/>
        <v>0</v>
      </c>
      <c r="V126" t="b">
        <f t="shared" si="5"/>
        <v>0</v>
      </c>
      <c r="AE126">
        <f t="shared" si="6"/>
        <v>0</v>
      </c>
      <c r="AF126" t="b">
        <f t="shared" si="7"/>
        <v>0</v>
      </c>
    </row>
    <row r="127" spans="21:32">
      <c r="U127">
        <f t="shared" si="4"/>
        <v>0</v>
      </c>
      <c r="V127" t="b">
        <f t="shared" si="5"/>
        <v>0</v>
      </c>
      <c r="AE127">
        <f t="shared" si="6"/>
        <v>0</v>
      </c>
      <c r="AF127" t="b">
        <f t="shared" si="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2018-9BBB-4F1D-B439-0D9244693A91}">
  <dimension ref="B2:B18"/>
  <sheetViews>
    <sheetView workbookViewId="0">
      <selection activeCell="E36" sqref="E36"/>
    </sheetView>
  </sheetViews>
  <sheetFormatPr defaultRowHeight="13.2"/>
  <sheetData>
    <row r="2" spans="2:2">
      <c r="B2" t="str">
        <f>_xlfn.TEXTJOIN(",",FALSE,Calculations!A21:Q21)</f>
        <v>,Poison,Tooth,Steel,Power,Spirit,Feather,Egg,Mushroom,Pepper,Sand,Lightning,Beetle,Flame,Scale,Essence,Shadow</v>
      </c>
    </row>
    <row r="3" spans="2:2">
      <c r="B3" t="str">
        <f>_xlfn.TEXTJOIN(",",FALSE,Calculations!A22:Q22)</f>
        <v>Poison,1 Pet Eggs,Power,Spirit,Event Equipment ,18 Currency,Egg,1 Skill Points,32 Currency,32 Currency,2 Raid Cards,2 Skill Points,4 Hero Weapons,116 Currency,1 Clan Scrolls,116 Currency,222 Currency</v>
      </c>
    </row>
    <row r="4" spans="2:2">
      <c r="B4" t="str">
        <f>_xlfn.TEXTJOIN(",",FALSE,Calculations!A23:Q23)</f>
        <v>Tooth,Power,12 Currency,Feather,18 Currency,1 Perks,Event Equipment ,1 Raid Cards,4 Crafting Shards,2 Perks,6 Currency,2 Raid Cards,3 Perks,116 Currency,116 Currency,116 Currency,3 Clan Scrolls</v>
      </c>
    </row>
    <row r="5" spans="2:2">
      <c r="B5" t="str">
        <f>_xlfn.TEXTJOIN(",",FALSE,Calculations!A24:Q24)</f>
        <v>Steel,Spirit,Feather,12 Currency,6 Raid Cards,1 Event Equipment ,3 Pet Eggs,1 Raid Cards,4 Crafting Shards,Event Equipment ,6 Currency,2 Skill Points,6 Currency,116 currency,116 Currency,116 Currency,232 Currency</v>
      </c>
    </row>
    <row r="6" spans="2:2">
      <c r="B6" t="str">
        <f>_xlfn.TEXTJOIN(",",FALSE,Calculations!A25:Q25)</f>
        <v>Power,Event Equipment ,18 Currency,6 Raid Cards,2 Event Equipment ,25 Currency,Pepper,2 Hero Weapons,12 Raid Cards,3 Event Equipment ,9 Crafting Shards,16 Wildcards,66 Currency,122 Currency,122 Currency,12 Event Equipment ,3 Clan Scrolls</v>
      </c>
    </row>
    <row r="7" spans="2:2">
      <c r="B7" t="str">
        <f>_xlfn.TEXTJOIN(",",FALSE,Calculations!A26:Q26)</f>
        <v>Spirit,18 Currency,1 Perks,1 Event Equipment ,25 Currency,25 Currency,Mushroom,38 Currency,38 Currency,Event Equipment ,66 Currency,2 Skill Points,22 Raid Cards,122 Currency,Event Equipment ,8 Hero Weapons,238 Currency</v>
      </c>
    </row>
    <row r="8" spans="2:2">
      <c r="B8" t="str">
        <f>_xlfn.TEXTJOIN(",",FALSE,Calculations!A27:Q27)</f>
        <v>Feather,Egg,Event Equipment ,3 Pet Eggs,Pepper,Mushroom,25 Currency,6 Pet Eggs,12 Raid Cards,Sand,66 Currency,22 Raid cards,66 Currency,122 Currency,122 Currency,4 Raid Cards,39 Pet Eggs</v>
      </c>
    </row>
    <row r="9" spans="2:2">
      <c r="B9" t="str">
        <f>_xlfn.TEXTJOIN(",",FALSE,Calculations!A28:Q28)</f>
        <v>Egg,1 Skill Points,1 Raid Cards,1 Raid Cards,2 Hero Weapons,38 Currency,6 Pet Eggs,52 Currency,Legendary Equipment,Beetle,13 Pet Eggs,8 Currency,26 Raid Cards,136 Currency,136 Currency,45 Raid Cards,252 Currency</v>
      </c>
    </row>
    <row r="10" spans="2:2">
      <c r="B10" t="str">
        <f>_xlfn.TEXTJOIN(",",FALSE,Calculations!A29:Q29)</f>
        <v>Mushroom,32 Currency,4 Crafting Shards,4 Crafting Shards,12 Raid Cards,38 Currency,12 Raid Cards,Legendary Equipment,52 Currency,Lightning,13 Pet Eggs,Legendary Equipment,13 Pet Eggs,136 Currency,22 Pet Eggs,19 Crafting Shards,3 Fortune Scrolls</v>
      </c>
    </row>
    <row r="11" spans="2:2">
      <c r="B11" t="str">
        <f>_xlfn.TEXTJOIN(",",FALSE,Calculations!A30:Q30)</f>
        <v>Pepper,32 Currency,2 Perks,Event Equipment ,3 Event Equipment ,Event Equipment ,Sand,Beetle,Lightning,52 Currency,3 Skill Points,Essence,11 Crafting Shards,19 Crafting Shards,19 Crafting Shards,19 Crafting Shards,252 Currency</v>
      </c>
    </row>
    <row r="12" spans="2:2">
      <c r="B12" t="str">
        <f>_xlfn.TEXTJOIN(",",FALSE,Calculations!A31:Q31)</f>
        <v>Sand,2 Raid Cards,6 Currency,6 Currency,9 Crafting Shards,66 Currency,66 Currency,13 Pet Eggs,13 Pet Eggs,3 Skill Points,18 Currency,18 Currency,Flame,8 Fortune Weapons,54 Raid Cards,54 Raid Cards,3 Fortune Scrolls</v>
      </c>
    </row>
    <row r="13" spans="2:2">
      <c r="B13" t="str">
        <f>_xlfn.TEXTJOIN(",",FALSE,Calculations!A32:Q32)</f>
        <v>Lightning,2 Skill Points,2 Raid Cards,2 Skill Points,16 Wildcards,2 Skill Points,22 Raid cards,8 Currency,Legendary Equipment,Essence,18 Currency,Legendary Equipment,Scale,164 Currency,164 Currency,41 Wildcards,28 Currency</v>
      </c>
    </row>
    <row r="14" spans="2:2">
      <c r="B14" t="str">
        <f>_xlfn.TEXTJOIN(",",FALSE,Calculations!A33:Q33)</f>
        <v>Beetle,4 Hero Weapons,3 Perks,6 Currency,66 Currency,22 Raid Cards,66 Currency,26 Raid Cards,13 Pet Eggs,11 Crafting Shards,Flame,Scale,4 Skill Points,Legendary Equipment,Legendary Equipment,6 Skill Points,11 Skill Points</v>
      </c>
    </row>
    <row r="15" spans="2:2">
      <c r="B15" t="str">
        <f>_xlfn.TEXTJOIN(",",FALSE,Calculations!A34:Q34)</f>
        <v>Flame,116 Currency,116 Currency,116 currency,122 Currency,122 Currency,122 Currency,136 Currency,136 Currency,19 Crafting Shards,8 Fortune Weapons,164 Currency,Legendary Equipment,Shadow,11 Fortune Weapons,22 Currency,84 Wildcards</v>
      </c>
    </row>
    <row r="16" spans="2:2">
      <c r="B16" t="str">
        <f>_xlfn.TEXTJOIN(",",FALSE,Calculations!A35:Q35)</f>
        <v>Scale,1 Clan Scrolls,116 Currency,116 Currency,122 Currency,Event Equipment ,122 Currency,136 Currency,22 Pet Eggs,19 Crafting Shards,54 Raid Cards,164 Currency,Legendary Equipment,11 Fortune Weapons,22 Currency,22 Currency,84 Wildcards</v>
      </c>
    </row>
    <row r="17" spans="2:2">
      <c r="B17" t="str">
        <f>_xlfn.TEXTJOIN(",",FALSE,Calculations!A36:Q36)</f>
        <v>Essence,116 Currency,116 Currency,116 Currency,12 Event Equipment ,8 Hero Weapons,4 Raid Cards,45 Raid Cards,19 Crafting Shards,19 Crafting Shards,54 Raid Cards,41 Wildcards,6 Skill Points,22 Currency,22 Currency,2 Fortune Scrolls,336 Currency</v>
      </c>
    </row>
    <row r="18" spans="2:2">
      <c r="B18" t="str">
        <f>_xlfn.TEXTJOIN(",",FALSE,Calculations!A37:Q37)</f>
        <v>Shadow,222 Currency,3 Clan Scrolls,232 Currency,3 Clan Scrolls,238 Currency,39 Pet Eggs,252 Currency,3 Fortune Scrolls,252 Currency,3 Fortune Scrolls,28 Currency,11 Skill Points,84 Wildcards,84 Wildcards,336 Currency,1 Legendary Equipment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"/>
  <sheetViews>
    <sheetView workbookViewId="0"/>
  </sheetViews>
  <sheetFormatPr defaultColWidth="12.6640625" defaultRowHeight="15.75" customHeight="1"/>
  <sheetData>
    <row r="1" spans="1:12" ht="15.75" customHeight="1">
      <c r="A1" s="12" t="s">
        <v>120</v>
      </c>
      <c r="B1" s="12"/>
      <c r="C1" s="12"/>
      <c r="D1" s="12"/>
      <c r="E1" s="12" t="s">
        <v>121</v>
      </c>
      <c r="F1" s="12"/>
      <c r="G1" s="14" t="s">
        <v>122</v>
      </c>
      <c r="H1" s="12" t="s">
        <v>121</v>
      </c>
      <c r="I1" s="12" t="s">
        <v>123</v>
      </c>
      <c r="J1" s="12" t="s">
        <v>124</v>
      </c>
      <c r="K1" s="12" t="s">
        <v>125</v>
      </c>
      <c r="L1" s="1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Pepper</v>
      </c>
      <c r="D3" s="7" t="str">
        <v>Berries</v>
      </c>
      <c r="E3" s="7" t="str">
        <v>Mushroom</v>
      </c>
      <c r="F3" s="8" t="str">
        <v>Sand</v>
      </c>
      <c r="G3" s="8" t="str">
        <v>Petal</v>
      </c>
      <c r="H3" s="7" t="str">
        <v>Acorn</v>
      </c>
      <c r="I3" s="7" t="str">
        <v>Feather</v>
      </c>
      <c r="J3" s="7" t="str">
        <v>Shadow</v>
      </c>
      <c r="K3" s="7" t="str">
        <v>Spirit</v>
      </c>
      <c r="L3" s="7" t="str">
        <v>Essence</v>
      </c>
      <c r="M3" s="7" t="str">
        <v>Power</v>
      </c>
      <c r="N3" s="8" t="str">
        <v>Beetle</v>
      </c>
      <c r="O3" s="7" t="str">
        <v>Tooth</v>
      </c>
      <c r="P3" s="7" t="str">
        <v>Flame</v>
      </c>
      <c r="Q3" s="7" t="str">
        <v>Steel</v>
      </c>
      <c r="R3" s="7" t="str">
        <v>Scale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21</v>
      </c>
      <c r="B5" s="10" t="e">
        <f t="array" aca="1" ref="B5" ca="1">_xludf.XLOOKUP(A5,Images!$A:$A,Images!$C:$C,"")</f>
        <v>#NAME?</v>
      </c>
      <c r="C5" s="11" t="s">
        <v>23</v>
      </c>
      <c r="D5" s="14" t="e">
        <f t="shared" ref="D5:R5" ca="1" si="0">INDEX($C$5:$R$20, COLUMN()-2, ROW()-4)</f>
        <v>#NAME?</v>
      </c>
      <c r="E5" s="12" t="e">
        <f t="shared" ca="1" si="0"/>
        <v>#NAME?</v>
      </c>
      <c r="F5" s="12" t="str">
        <f t="shared" si="0"/>
        <v>18 Common Equipment</v>
      </c>
      <c r="G5" s="12" t="str">
        <f t="shared" si="0"/>
        <v>Event Equipment (Safety Tongs)</v>
      </c>
      <c r="H5" s="12" t="str">
        <f t="shared" si="0"/>
        <v>18 Currency</v>
      </c>
      <c r="I5" s="12" t="str">
        <f t="shared" si="0"/>
        <v>10 Raid Cards</v>
      </c>
      <c r="J5" s="12" t="str">
        <f t="shared" si="0"/>
        <v>5 Eggs</v>
      </c>
      <c r="K5" s="12" t="str">
        <f t="shared" si="0"/>
        <v>32 Common Equipment</v>
      </c>
      <c r="L5" s="12" t="str">
        <f t="shared" si="0"/>
        <v>60 Currency</v>
      </c>
      <c r="M5" s="12" t="str">
        <f t="shared" si="0"/>
        <v>60 Currency</v>
      </c>
      <c r="N5" s="12" t="str">
        <f t="shared" si="0"/>
        <v>2 Skill Points</v>
      </c>
      <c r="O5" s="12" t="str">
        <f t="shared" si="0"/>
        <v>7 Hero Weapons</v>
      </c>
      <c r="P5" s="12" t="str">
        <f t="shared" si="0"/>
        <v>1 Clan Scroll</v>
      </c>
      <c r="Q5" s="12" t="str">
        <f t="shared" si="0"/>
        <v>1 Clan Scroll</v>
      </c>
      <c r="R5" s="12" t="str">
        <f t="shared" si="0"/>
        <v>232 Currency</v>
      </c>
    </row>
    <row r="6" spans="1:18" ht="37.5" customHeight="1">
      <c r="A6" s="8" t="s">
        <v>16</v>
      </c>
      <c r="B6" s="10" t="e">
        <f t="array" aca="1" ref="B6" ca="1">_xludf.XLOOKUP(A6,Images!$A:$A,Images!$C:$C,"")</f>
        <v>#NAME?</v>
      </c>
      <c r="C6" s="13" t="e">
        <f t="array" aca="1" ref="C6" ca="1">_xludf.XLOOKUP("Sand",Images!$A:$A,Images!$C:$C,"")</f>
        <v>#NAME?</v>
      </c>
      <c r="D6" s="11" t="s">
        <v>23</v>
      </c>
      <c r="E6" s="13" t="e">
        <f t="shared" ref="E6:G6" ca="1" si="1">INDEX($C$5:$R$20, COLUMN()-2, ROW()-4)</f>
        <v>#NAME?</v>
      </c>
      <c r="F6" s="12" t="str">
        <f t="shared" si="1"/>
        <v>1 Perk</v>
      </c>
      <c r="G6" s="12" t="str">
        <f t="shared" si="1"/>
        <v>Event Equipment (Hair of Madness)</v>
      </c>
      <c r="H6" s="12" t="s">
        <v>25</v>
      </c>
      <c r="I6" s="12" t="str">
        <f t="shared" ref="I6:R6" si="2">INDEX($C$5:$R$20, COLUMN()-2, ROW()-4)</f>
        <v>32 Currency</v>
      </c>
      <c r="J6" s="12" t="str">
        <f t="shared" si="2"/>
        <v>2 Perks</v>
      </c>
      <c r="K6" s="12" t="str">
        <f t="shared" si="2"/>
        <v>4 Crafting Shards</v>
      </c>
      <c r="L6" s="12" t="str">
        <f t="shared" si="2"/>
        <v>20 Raid Cards</v>
      </c>
      <c r="M6" s="12" t="str">
        <f t="shared" si="2"/>
        <v>3 Perks</v>
      </c>
      <c r="N6" s="12" t="str">
        <f t="shared" si="2"/>
        <v>60 Currency</v>
      </c>
      <c r="O6" s="12" t="str">
        <f t="shared" si="2"/>
        <v>116 Currency</v>
      </c>
      <c r="P6" s="12" t="str">
        <f t="shared" si="2"/>
        <v>116 Currency</v>
      </c>
      <c r="Q6" s="12" t="str">
        <f t="shared" si="2"/>
        <v>1 Clan Scroll</v>
      </c>
      <c r="R6" s="12" t="str">
        <f t="shared" si="2"/>
        <v>232 Currency</v>
      </c>
    </row>
    <row r="7" spans="1:18" ht="37.5" customHeight="1">
      <c r="A7" s="8" t="s">
        <v>17</v>
      </c>
      <c r="B7" s="10" t="e">
        <f t="array" aca="1" ref="B7" ca="1">_xludf.XLOOKUP(A7,Images!$A:$A,Images!$C:$C,"")</f>
        <v>#NAME?</v>
      </c>
      <c r="C7" s="12" t="e">
        <f t="array" aca="1" ref="C7" ca="1">_xludf.XLOOKUP("Petal",Images!$A:$A,Images!$C:$C,"")</f>
        <v>#NAME?</v>
      </c>
      <c r="D7" s="13" t="e">
        <f t="array" aca="1" ref="D7" ca="1">_xludf.XLOOKUP("Acorn",Images!$A:$A,Images!$C:$C,"")</f>
        <v>#NAME?</v>
      </c>
      <c r="E7" s="11" t="s">
        <v>23</v>
      </c>
      <c r="F7" s="12" t="str">
        <f t="shared" ref="F7:R7" si="3">INDEX($C$5:$R$20, COLUMN()-2, ROW()-4)</f>
        <v>1 Rare Equipment</v>
      </c>
      <c r="G7" s="12" t="str">
        <f t="shared" si="3"/>
        <v>Event Equipment (Lab Coat)</v>
      </c>
      <c r="H7" s="12" t="str">
        <f t="shared" si="3"/>
        <v>6 Raid Cards</v>
      </c>
      <c r="I7" s="12" t="str">
        <f t="shared" si="3"/>
        <v>10 Raid Cards</v>
      </c>
      <c r="J7" s="12" t="str">
        <f t="shared" si="3"/>
        <v>5 Eggs</v>
      </c>
      <c r="K7" s="12" t="str">
        <f t="shared" si="3"/>
        <v>4 Crafting Shards</v>
      </c>
      <c r="L7" s="12" t="str">
        <f t="shared" si="3"/>
        <v>60 Currency</v>
      </c>
      <c r="M7" s="12" t="str">
        <f t="shared" si="3"/>
        <v>60 Currency</v>
      </c>
      <c r="N7" s="12" t="str">
        <f t="shared" si="3"/>
        <v>2 Skill Points</v>
      </c>
      <c r="O7" s="12" t="str">
        <f t="shared" si="3"/>
        <v>116 Currency</v>
      </c>
      <c r="P7" s="12" t="str">
        <f t="shared" si="3"/>
        <v>116 Currency</v>
      </c>
      <c r="Q7" s="12" t="str">
        <f t="shared" si="3"/>
        <v>116 Currency</v>
      </c>
      <c r="R7" s="12" t="str">
        <f t="shared" si="3"/>
        <v>232 Currency</v>
      </c>
    </row>
    <row r="8" spans="1:18" ht="37.5" customHeight="1">
      <c r="A8" s="8" t="s">
        <v>1</v>
      </c>
      <c r="B8" s="10" t="e">
        <f t="array" aca="1" ref="B8" ca="1">_xludf.XLOOKUP(A8,Images!$A:$A,Images!$C:$C,"")</f>
        <v>#NAME?</v>
      </c>
      <c r="C8" s="12" t="s">
        <v>127</v>
      </c>
      <c r="D8" s="12" t="s">
        <v>27</v>
      </c>
      <c r="E8" s="12" t="s">
        <v>28</v>
      </c>
      <c r="F8" s="11" t="s">
        <v>26</v>
      </c>
      <c r="G8" s="12" t="e">
        <f t="shared" ref="G8:R8" ca="1" si="4">INDEX($C$5:$R$20, COLUMN()-2, ROW()-4)</f>
        <v>#NAME?</v>
      </c>
      <c r="H8" s="12" t="e">
        <f t="shared" ca="1" si="4"/>
        <v>#NAME?</v>
      </c>
      <c r="I8" s="12" t="str">
        <f t="shared" si="4"/>
        <v>12 Raid Cards</v>
      </c>
      <c r="J8" s="12" t="str">
        <f t="shared" si="4"/>
        <v>38 Currency</v>
      </c>
      <c r="K8" s="12" t="str">
        <f t="shared" si="4"/>
        <v>5 Crafting Shards</v>
      </c>
      <c r="L8" s="12" t="str">
        <f t="shared" si="4"/>
        <v>6 Rare Equipment</v>
      </c>
      <c r="M8" s="12" t="str">
        <f t="shared" si="4"/>
        <v>66 Currency</v>
      </c>
      <c r="N8" s="12" t="str">
        <f t="shared" si="4"/>
        <v>66 Currency</v>
      </c>
      <c r="O8" s="12" t="str">
        <f t="shared" si="4"/>
        <v>122 Currency</v>
      </c>
      <c r="P8" s="12" t="str">
        <f t="shared" si="4"/>
        <v>30 Wildcards</v>
      </c>
      <c r="Q8" s="12" t="str">
        <f t="shared" si="4"/>
        <v>1 Clan Scroll</v>
      </c>
      <c r="R8" s="12" t="str">
        <f t="shared" si="4"/>
        <v>23 Rare Equipment</v>
      </c>
    </row>
    <row r="9" spans="1:18" ht="37.5" customHeight="1">
      <c r="A9" s="8" t="s">
        <v>18</v>
      </c>
      <c r="B9" s="10" t="e">
        <f t="array" aca="1" ref="B9" ca="1">_xludf.XLOOKUP(A9,Images!$A:$A,Images!$C:$C,"")</f>
        <v>#NAME?</v>
      </c>
      <c r="C9" s="12" t="s">
        <v>22</v>
      </c>
      <c r="D9" s="12" t="s">
        <v>31</v>
      </c>
      <c r="E9" s="12" t="s">
        <v>34</v>
      </c>
      <c r="F9" s="12" t="e">
        <f t="array" aca="1" ref="F9" ca="1">_xludf.XLOOKUP("Spirit",Images!$A:$A,Images!$C:$C,"")</f>
        <v>#NAME?</v>
      </c>
      <c r="G9" s="11" t="s">
        <v>36</v>
      </c>
      <c r="H9" s="12" t="e">
        <f t="shared" ref="H9:R9" ca="1" si="5">INDEX($C$5:$R$20, COLUMN()-2, ROW()-4)</f>
        <v>#NAME?</v>
      </c>
      <c r="I9" s="12" t="str">
        <f t="shared" si="5"/>
        <v>Event Equipment (Master of Elements)</v>
      </c>
      <c r="J9" s="12" t="str">
        <f t="shared" si="5"/>
        <v>38 Currency</v>
      </c>
      <c r="K9" s="12" t="str">
        <f t="shared" si="5"/>
        <v>38 Currency</v>
      </c>
      <c r="L9" s="12" t="str">
        <f t="shared" si="5"/>
        <v>22 Raid Cards</v>
      </c>
      <c r="M9" s="12" t="str">
        <f t="shared" si="5"/>
        <v>66 Currency</v>
      </c>
      <c r="N9" s="12" t="str">
        <f t="shared" si="5"/>
        <v>2 Skill Points</v>
      </c>
      <c r="O9" s="12" t="str">
        <f t="shared" si="5"/>
        <v>8 Hero Weapons</v>
      </c>
      <c r="P9" s="12" t="str">
        <f t="shared" si="5"/>
        <v>122 Currency</v>
      </c>
      <c r="Q9" s="12" t="str">
        <f t="shared" si="5"/>
        <v>122 Currency</v>
      </c>
      <c r="R9" s="12" t="str">
        <f t="shared" si="5"/>
        <v>238 Currency</v>
      </c>
    </row>
    <row r="10" spans="1:18" ht="37.5" customHeight="1">
      <c r="A10" s="8" t="s">
        <v>19</v>
      </c>
      <c r="B10" s="10" t="e">
        <f t="array" aca="1" ref="B10" ca="1">_xludf.XLOOKUP(A10,Images!$A:$A,Images!$C:$C,"")</f>
        <v>#NAME?</v>
      </c>
      <c r="C10" s="12" t="s">
        <v>24</v>
      </c>
      <c r="D10" s="12" t="s">
        <v>25</v>
      </c>
      <c r="E10" s="12" t="s">
        <v>25</v>
      </c>
      <c r="F10" s="13" t="e">
        <f t="array" aca="1" ref="F10" ca="1">_xludf.XLOOKUP("Feather",Images!$A:$A,Images!$C:$C,"")</f>
        <v>#NAME?</v>
      </c>
      <c r="G10" s="12" t="e">
        <f t="array" aca="1" ref="G10" ca="1">_xludf.XLOOKUP("Shadow",Images!$A:$A,Images!$C:$C,"")</f>
        <v>#NAME?</v>
      </c>
      <c r="H10" s="11" t="s">
        <v>29</v>
      </c>
      <c r="I10" s="12" t="str">
        <f t="shared" ref="I10:R10" si="6">INDEX($C$5:$R$20, COLUMN()-2, ROW()-4)</f>
        <v>38 Currency</v>
      </c>
      <c r="J10" s="12" t="str">
        <f t="shared" si="6"/>
        <v>6 Pet Eggs</v>
      </c>
      <c r="K10" s="12" t="str">
        <f t="shared" si="6"/>
        <v>12 Raid Cards</v>
      </c>
      <c r="L10" s="12" t="str">
        <f t="shared" si="6"/>
        <v>22 Raid Cards</v>
      </c>
      <c r="M10" s="12" t="str">
        <f t="shared" si="6"/>
        <v>66 Currency</v>
      </c>
      <c r="N10" s="12" t="str">
        <f t="shared" si="6"/>
        <v>66 Currency</v>
      </c>
      <c r="O10" s="12" t="str">
        <f t="shared" si="6"/>
        <v>40 Raid Cards</v>
      </c>
      <c r="P10" s="12" t="str">
        <f t="shared" si="6"/>
        <v>122 Currency</v>
      </c>
      <c r="Q10" s="12" t="str">
        <f t="shared" si="6"/>
        <v>40 Raid Cards</v>
      </c>
      <c r="R10" s="12" t="str">
        <f t="shared" si="6"/>
        <v>79 Raid Cards</v>
      </c>
    </row>
    <row r="11" spans="1:18" ht="37.5" customHeight="1">
      <c r="A11" s="8" t="s">
        <v>20</v>
      </c>
      <c r="B11" s="10" t="e">
        <f t="array" aca="1" ref="B11" ca="1">_xludf.XLOOKUP(A11,Images!$A:$A,Images!$C:$C,"")</f>
        <v>#NAME?</v>
      </c>
      <c r="C11" s="12" t="s">
        <v>42</v>
      </c>
      <c r="D11" s="12" t="s">
        <v>38</v>
      </c>
      <c r="E11" s="12" t="s">
        <v>42</v>
      </c>
      <c r="F11" s="12" t="s">
        <v>40</v>
      </c>
      <c r="G11" s="12" t="s">
        <v>41</v>
      </c>
      <c r="H11" s="12" t="s">
        <v>44</v>
      </c>
      <c r="I11" s="11" t="s">
        <v>37</v>
      </c>
      <c r="J11" s="12" t="e">
        <f t="shared" ref="J11:R11" ca="1" si="7">INDEX($C$5:$R$20, COLUMN()-2, ROW()-4)</f>
        <v>#NAME?</v>
      </c>
      <c r="K11" s="12" t="e">
        <f t="shared" ca="1" si="7"/>
        <v>#NAME?</v>
      </c>
      <c r="L11" s="12" t="str">
        <f t="shared" si="7"/>
        <v>80 Currency</v>
      </c>
      <c r="M11" s="12" t="str">
        <f t="shared" si="7"/>
        <v>Legendary Equipment (Timeless Wraps)</v>
      </c>
      <c r="N11" s="12" t="str">
        <f t="shared" si="7"/>
        <v>26 Raid Cards</v>
      </c>
      <c r="O11" s="12" t="str">
        <f t="shared" si="7"/>
        <v>45 Raid Cards</v>
      </c>
      <c r="P11" s="12" t="str">
        <f t="shared" si="7"/>
        <v>136 Currency</v>
      </c>
      <c r="Q11" s="12" t="str">
        <f t="shared" si="7"/>
        <v>45 Raid Cards</v>
      </c>
      <c r="R11" s="12" t="str">
        <f t="shared" si="7"/>
        <v>84 Raid Cards</v>
      </c>
    </row>
    <row r="12" spans="1:18" ht="37.5" customHeight="1">
      <c r="A12" s="8" t="s">
        <v>12</v>
      </c>
      <c r="B12" s="10" t="e">
        <f t="array" aca="1" ref="B12" ca="1">_xludf.XLOOKUP(A12,Images!$A:$A,Images!$C:$C,"")</f>
        <v>#NAME?</v>
      </c>
      <c r="C12" s="12" t="s">
        <v>128</v>
      </c>
      <c r="D12" s="12" t="s">
        <v>33</v>
      </c>
      <c r="E12" s="12" t="s">
        <v>128</v>
      </c>
      <c r="F12" s="12" t="s">
        <v>44</v>
      </c>
      <c r="G12" s="12" t="s">
        <v>44</v>
      </c>
      <c r="H12" s="12" t="s">
        <v>129</v>
      </c>
      <c r="I12" s="12" t="e">
        <f t="array" aca="1" ref="I12" ca="1">_xludf.XLOOKUP("Power",Images!$A:$A,Images!$C:$C,"")</f>
        <v>#NAME?</v>
      </c>
      <c r="J12" s="11" t="s">
        <v>37</v>
      </c>
      <c r="K12" s="12" t="e">
        <f t="shared" ref="K12:R12" ca="1" si="8">INDEX($C$5:$R$20, COLUMN()-2, ROW()-4)</f>
        <v>#NAME?</v>
      </c>
      <c r="L12" s="12" t="str">
        <f t="shared" si="8"/>
        <v>13 Pet Eggs</v>
      </c>
      <c r="M12" s="12" t="str">
        <f t="shared" si="8"/>
        <v>Legendary Equipment (Staff of Eternity)</v>
      </c>
      <c r="N12" s="12" t="str">
        <f t="shared" si="8"/>
        <v>80 Currency</v>
      </c>
      <c r="O12" s="12" t="str">
        <f t="shared" si="8"/>
        <v>6 Fortune Weapons</v>
      </c>
      <c r="P12" s="12" t="str">
        <f t="shared" si="8"/>
        <v>34 Wildcards</v>
      </c>
      <c r="Q12" s="12" t="str">
        <f t="shared" si="8"/>
        <v>1 Fortune Scroll</v>
      </c>
      <c r="R12" s="12" t="str">
        <f t="shared" si="8"/>
        <v>42 Eggs</v>
      </c>
    </row>
    <row r="13" spans="1:18" ht="37.5" customHeight="1">
      <c r="A13" s="8" t="s">
        <v>13</v>
      </c>
      <c r="B13" s="10" t="e">
        <f t="array" aca="1" ref="B13" ca="1">_xludf.XLOOKUP(A13,Images!$A:$A,Images!$C:$C,"")</f>
        <v>#NAME?</v>
      </c>
      <c r="C13" s="14" t="s">
        <v>130</v>
      </c>
      <c r="D13" s="12" t="s">
        <v>39</v>
      </c>
      <c r="E13" s="12" t="s">
        <v>39</v>
      </c>
      <c r="F13" s="12" t="s">
        <v>131</v>
      </c>
      <c r="G13" s="12" t="s">
        <v>44</v>
      </c>
      <c r="H13" s="12" t="s">
        <v>40</v>
      </c>
      <c r="I13" s="12" t="e">
        <f t="array" aca="1" ref="I13" ca="1">_xludf.XLOOKUP("Beetle",Images!$A:$A,Images!$C:$C,"")</f>
        <v>#NAME?</v>
      </c>
      <c r="J13" s="12" t="e">
        <f t="array" aca="1" ref="J13" ca="1">_xludf.XLOOKUP("Essence",Images!$A:$A,Images!$C:$C,"")</f>
        <v>#NAME?</v>
      </c>
      <c r="K13" s="11" t="s">
        <v>37</v>
      </c>
      <c r="L13" s="12" t="str">
        <f t="shared" ref="L13:R13" si="9">INDEX($C$5:$R$20, COLUMN()-2, ROW()-4)</f>
        <v>26 Raid Cards</v>
      </c>
      <c r="M13" s="12" t="str">
        <f t="shared" si="9"/>
        <v>Legendary Equipment (Inner Peace)</v>
      </c>
      <c r="N13" s="12" t="str">
        <f t="shared" si="9"/>
        <v>3 Skill Points</v>
      </c>
      <c r="O13" s="12" t="str">
        <f t="shared" si="9"/>
        <v>19 Crafting Shards</v>
      </c>
      <c r="P13" s="12" t="str">
        <f t="shared" si="9"/>
        <v>136 Currency</v>
      </c>
      <c r="Q13" s="12" t="str">
        <f t="shared" si="9"/>
        <v>19 Crafting Shards</v>
      </c>
      <c r="R13" s="12" t="str">
        <f t="shared" si="9"/>
        <v>36 Crafting Shards</v>
      </c>
    </row>
    <row r="14" spans="1:18" ht="37.5" customHeight="1">
      <c r="A14" s="8" t="s">
        <v>10</v>
      </c>
      <c r="B14" s="10" t="e">
        <f t="array" aca="1" ref="B14" ca="1">_xludf.XLOOKUP(A14,Images!$A:$A,Images!$C:$C,"")</f>
        <v>#NAME?</v>
      </c>
      <c r="C14" s="12" t="s">
        <v>48</v>
      </c>
      <c r="D14" s="15" t="s">
        <v>47</v>
      </c>
      <c r="E14" s="12" t="s">
        <v>48</v>
      </c>
      <c r="F14" s="14" t="s">
        <v>132</v>
      </c>
      <c r="G14" s="12" t="s">
        <v>58</v>
      </c>
      <c r="H14" s="12" t="s">
        <v>58</v>
      </c>
      <c r="I14" s="12" t="s">
        <v>51</v>
      </c>
      <c r="J14" s="12" t="s">
        <v>133</v>
      </c>
      <c r="K14" s="12" t="s">
        <v>63</v>
      </c>
      <c r="L14" s="11" t="s">
        <v>54</v>
      </c>
      <c r="M14" s="12" t="e">
        <f t="shared" ref="M14:R14" ca="1" si="10">INDEX($C$5:$R$20, COLUMN()-2, ROW()-4)</f>
        <v>#NAME?</v>
      </c>
      <c r="N14" s="12" t="e">
        <f t="shared" ca="1" si="10"/>
        <v>#NAME?</v>
      </c>
      <c r="O14" s="12" t="str">
        <f t="shared" si="10"/>
        <v>54 Raid Cards</v>
      </c>
      <c r="P14" s="12" t="str">
        <f t="shared" si="10"/>
        <v>Avatar + 108 Currency</v>
      </c>
      <c r="Q14" s="12" t="str">
        <f t="shared" si="10"/>
        <v>2 Fortune Scrolls</v>
      </c>
      <c r="R14" s="12" t="str">
        <f t="shared" si="10"/>
        <v>93 Raid Cards</v>
      </c>
    </row>
    <row r="15" spans="1:18" ht="37.5" customHeight="1">
      <c r="A15" s="8" t="s">
        <v>11</v>
      </c>
      <c r="B15" s="10" t="e">
        <f t="array" aca="1" ref="B15" ca="1">_xludf.XLOOKUP(A15,Images!$A:$A,Images!$C:$C,"")</f>
        <v>#NAME?</v>
      </c>
      <c r="C15" s="12" t="s">
        <v>48</v>
      </c>
      <c r="D15" s="12" t="s">
        <v>62</v>
      </c>
      <c r="E15" s="12" t="s">
        <v>48</v>
      </c>
      <c r="F15" s="12" t="s">
        <v>50</v>
      </c>
      <c r="G15" s="12" t="s">
        <v>50</v>
      </c>
      <c r="H15" s="12" t="s">
        <v>50</v>
      </c>
      <c r="I15" s="12" t="s">
        <v>134</v>
      </c>
      <c r="J15" s="12" t="s">
        <v>135</v>
      </c>
      <c r="K15" s="12" t="s">
        <v>136</v>
      </c>
      <c r="L15" s="12" t="e">
        <f t="array" aca="1" ref="L15" ca="1">_xludf.XLOOKUP("Steel",Images!$A:$A,Images!$C:$C,"")</f>
        <v>#NAME?</v>
      </c>
      <c r="M15" s="11" t="s">
        <v>137</v>
      </c>
      <c r="N15" s="12" t="e">
        <f t="shared" ref="N15:R15" ca="1" si="11">INDEX($C$5:$R$20, COLUMN()-2, ROW()-4)</f>
        <v>#NAME?</v>
      </c>
      <c r="O15" s="12" t="str">
        <f t="shared" si="11"/>
        <v>164 Currency</v>
      </c>
      <c r="P15" s="12" t="str">
        <f t="shared" si="11"/>
        <v>41 Wildcards</v>
      </c>
      <c r="Q15" s="12" t="str">
        <f t="shared" si="11"/>
        <v>164 Currency</v>
      </c>
      <c r="R15" s="12" t="str">
        <f t="shared" si="11"/>
        <v>280 Currency</v>
      </c>
    </row>
    <row r="16" spans="1:18" ht="37.5" customHeight="1">
      <c r="A16" s="8" t="s">
        <v>5</v>
      </c>
      <c r="B16" s="10" t="e">
        <f t="array" aca="1" ref="B16" ca="1">_xludf.XLOOKUP(A16,Images!$A:$A,Images!$C:$C,"")</f>
        <v>#NAME?</v>
      </c>
      <c r="C16" s="12" t="s">
        <v>55</v>
      </c>
      <c r="D16" s="12" t="s">
        <v>48</v>
      </c>
      <c r="E16" s="12" t="s">
        <v>55</v>
      </c>
      <c r="F16" s="12" t="s">
        <v>50</v>
      </c>
      <c r="G16" s="12" t="s">
        <v>55</v>
      </c>
      <c r="H16" s="12" t="s">
        <v>50</v>
      </c>
      <c r="I16" s="12" t="s">
        <v>63</v>
      </c>
      <c r="J16" s="12" t="s">
        <v>51</v>
      </c>
      <c r="K16" s="12" t="s">
        <v>53</v>
      </c>
      <c r="L16" s="12" t="e">
        <f t="array" aca="1" ref="L16" ca="1">_xludf.XLOOKUP("Flame",Images!$A:$A,Images!$C:$C,"")</f>
        <v>#NAME?</v>
      </c>
      <c r="M16" s="16" t="e">
        <f t="array" aca="1" ref="M16" ca="1">_xludf.XLOOKUP("Tooth",Images!$A:$A,Images!$C:$C,"")</f>
        <v>#NAME?</v>
      </c>
      <c r="N16" s="11" t="s">
        <v>65</v>
      </c>
      <c r="O16" s="12" t="str">
        <f t="shared" ref="O16:R16" si="12">INDEX($C$5:$R$20, COLUMN()-2, ROW()-4)</f>
        <v>8 Fortune Weapons</v>
      </c>
      <c r="P16" s="12" t="str">
        <f t="shared" si="12"/>
        <v>6 Skill Points</v>
      </c>
      <c r="Q16" s="12" t="str">
        <f t="shared" si="12"/>
        <v>2 Fortune Scrolls</v>
      </c>
      <c r="R16" s="12" t="str">
        <f t="shared" si="12"/>
        <v>11 Skill Points</v>
      </c>
    </row>
    <row r="17" spans="1:18" ht="37.5" customHeight="1">
      <c r="A17" s="8" t="s">
        <v>6</v>
      </c>
      <c r="B17" s="10" t="e">
        <f t="array" aca="1" ref="B17" ca="1">_xludf.XLOOKUP(A17,Images!$A:$A,Images!$C:$C,"")</f>
        <v>#NAME?</v>
      </c>
      <c r="C17" s="12" t="s">
        <v>138</v>
      </c>
      <c r="D17" s="12" t="s">
        <v>66</v>
      </c>
      <c r="E17" s="12" t="s">
        <v>66</v>
      </c>
      <c r="F17" s="12" t="s">
        <v>67</v>
      </c>
      <c r="G17" s="12" t="s">
        <v>81</v>
      </c>
      <c r="H17" s="12" t="s">
        <v>74</v>
      </c>
      <c r="I17" s="14" t="s">
        <v>75</v>
      </c>
      <c r="J17" s="12" t="s">
        <v>119</v>
      </c>
      <c r="K17" s="12" t="s">
        <v>69</v>
      </c>
      <c r="L17" s="12" t="s">
        <v>77</v>
      </c>
      <c r="M17" s="12" t="s">
        <v>71</v>
      </c>
      <c r="N17" s="12" t="s">
        <v>70</v>
      </c>
      <c r="O17" s="11" t="s">
        <v>72</v>
      </c>
      <c r="P17" s="12" t="str">
        <f t="shared" ref="P17:R17" si="13">INDEX($C$5:$R$20, COLUMN()-2, ROW()-4)</f>
        <v>55 Wildcards</v>
      </c>
      <c r="Q17" s="12" t="str">
        <f t="shared" si="13"/>
        <v>11 Fortune Weapons</v>
      </c>
      <c r="R17" s="12" t="str">
        <f t="shared" si="13"/>
        <v>16 Fortune Weapons</v>
      </c>
    </row>
    <row r="18" spans="1:18" ht="37.5" customHeight="1">
      <c r="A18" s="8" t="s">
        <v>7</v>
      </c>
      <c r="B18" s="10" t="e">
        <f t="array" aca="1" ref="B18" ca="1">_xludf.XLOOKUP(A18,Images!$A:$A,Images!$C:$C,"")</f>
        <v>#NAME?</v>
      </c>
      <c r="C18" s="12" t="s">
        <v>73</v>
      </c>
      <c r="D18" s="12" t="s">
        <v>66</v>
      </c>
      <c r="E18" s="12" t="s">
        <v>66</v>
      </c>
      <c r="F18" s="12" t="s">
        <v>139</v>
      </c>
      <c r="G18" s="12" t="s">
        <v>67</v>
      </c>
      <c r="H18" s="12" t="s">
        <v>67</v>
      </c>
      <c r="I18" s="14" t="s">
        <v>68</v>
      </c>
      <c r="J18" s="12" t="s">
        <v>140</v>
      </c>
      <c r="K18" s="12" t="s">
        <v>68</v>
      </c>
      <c r="L18" s="12" t="s">
        <v>64</v>
      </c>
      <c r="M18" s="12" t="s">
        <v>82</v>
      </c>
      <c r="N18" s="12" t="s">
        <v>83</v>
      </c>
      <c r="O18" s="12" t="s">
        <v>141</v>
      </c>
      <c r="P18" s="11" t="s">
        <v>72</v>
      </c>
      <c r="Q18" s="12" t="e">
        <f t="shared" ref="Q18:R18" ca="1" si="14">INDEX($C$5:$R$20, COLUMN()-2, ROW()-4)</f>
        <v>#NAME?</v>
      </c>
      <c r="R18" s="12" t="str">
        <f t="shared" si="14"/>
        <v>84 Wildcards</v>
      </c>
    </row>
    <row r="19" spans="1:18" ht="37.5" customHeight="1">
      <c r="A19" s="8" t="s">
        <v>8</v>
      </c>
      <c r="B19" s="10" t="e">
        <f t="array" aca="1" ref="B19" ca="1">_xludf.XLOOKUP(A19,Images!$A:$A,Images!$C:$C,"")</f>
        <v>#NAME?</v>
      </c>
      <c r="C19" s="12" t="s">
        <v>73</v>
      </c>
      <c r="D19" s="12" t="s">
        <v>73</v>
      </c>
      <c r="E19" s="12" t="s">
        <v>66</v>
      </c>
      <c r="F19" s="12" t="s">
        <v>73</v>
      </c>
      <c r="G19" s="12" t="s">
        <v>67</v>
      </c>
      <c r="H19" s="12" t="s">
        <v>74</v>
      </c>
      <c r="I19" s="12" t="s">
        <v>75</v>
      </c>
      <c r="J19" s="12" t="s">
        <v>105</v>
      </c>
      <c r="K19" s="12" t="s">
        <v>69</v>
      </c>
      <c r="L19" s="12" t="s">
        <v>78</v>
      </c>
      <c r="M19" s="12" t="s">
        <v>71</v>
      </c>
      <c r="N19" s="12" t="s">
        <v>78</v>
      </c>
      <c r="O19" s="12" t="s">
        <v>79</v>
      </c>
      <c r="P19" s="12" t="e">
        <f t="array" aca="1" ref="P19" ca="1">_xludf.XLOOKUP("Scale",Images!$A:$A,Images!$C:$C,"")</f>
        <v>#NAME?</v>
      </c>
      <c r="Q19" s="11" t="s">
        <v>72</v>
      </c>
      <c r="R19" s="12" t="str">
        <f t="array" ref="R19">INDEX($C$5:$R$20, COLUMN()-2, ROW()-4)</f>
        <v>4 Fortune Scrolls</v>
      </c>
    </row>
    <row r="20" spans="1:18" ht="37.5" customHeight="1">
      <c r="A20" s="8" t="s">
        <v>9</v>
      </c>
      <c r="B20" s="10" t="e">
        <f t="array" aca="1" ref="B20" ca="1">_xludf.XLOOKUP(A20,Images!$A:$A,Images!$C:$C,"")</f>
        <v>#NAME?</v>
      </c>
      <c r="C20" s="12" t="s">
        <v>84</v>
      </c>
      <c r="D20" s="12" t="s">
        <v>84</v>
      </c>
      <c r="E20" s="12" t="s">
        <v>84</v>
      </c>
      <c r="F20" s="14" t="s">
        <v>142</v>
      </c>
      <c r="G20" s="12" t="s">
        <v>86</v>
      </c>
      <c r="H20" s="12" t="s">
        <v>87</v>
      </c>
      <c r="I20" s="12" t="s">
        <v>143</v>
      </c>
      <c r="J20" s="12" t="s">
        <v>144</v>
      </c>
      <c r="K20" s="12" t="s">
        <v>145</v>
      </c>
      <c r="L20" s="12" t="s">
        <v>146</v>
      </c>
      <c r="M20" s="12" t="s">
        <v>90</v>
      </c>
      <c r="N20" s="12" t="s">
        <v>91</v>
      </c>
      <c r="O20" s="12" t="s">
        <v>147</v>
      </c>
      <c r="P20" s="14" t="s">
        <v>92</v>
      </c>
      <c r="Q20" s="14" t="s">
        <v>148</v>
      </c>
      <c r="R20" s="11" t="s">
        <v>149</v>
      </c>
    </row>
  </sheetData>
  <mergeCells count="1">
    <mergeCell ref="A3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62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">
        <v>19</v>
      </c>
      <c r="D3" s="7" t="s">
        <v>0</v>
      </c>
      <c r="E3" s="7" t="s">
        <v>1</v>
      </c>
      <c r="F3" s="7" t="s">
        <v>18</v>
      </c>
      <c r="G3" s="7" t="s">
        <v>8</v>
      </c>
      <c r="H3" s="7" t="s">
        <v>16</v>
      </c>
      <c r="I3" s="7" t="s">
        <v>3</v>
      </c>
      <c r="J3" s="7" t="s">
        <v>21</v>
      </c>
      <c r="K3" s="7" t="s">
        <v>9</v>
      </c>
      <c r="L3" s="7" t="s">
        <v>11</v>
      </c>
      <c r="M3" s="7" t="s">
        <v>7</v>
      </c>
      <c r="N3" s="8" t="s">
        <v>95</v>
      </c>
      <c r="O3" s="7" t="s">
        <v>96</v>
      </c>
      <c r="P3" s="7" t="s">
        <v>10</v>
      </c>
      <c r="Q3" s="7" t="s">
        <v>20</v>
      </c>
      <c r="R3" s="7" t="s">
        <v>13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19</v>
      </c>
      <c r="B5" s="10" t="e">
        <f t="array" aca="1" ref="B5" ca="1">_xludf.XLOOKUP(A5,Images!$A:$A,Images!$C:$C,"")</f>
        <v>#NAME?</v>
      </c>
      <c r="C5" s="18" t="e">
        <f t="array" aca="1" ref="C5" ca="1">_xludf.XLOOKUP("Leaf",Images!$A:$A,Images!$C:$C,"")</f>
        <v>#NAME?</v>
      </c>
      <c r="D5" s="19" t="e">
        <f t="shared" ref="D5:R5" ca="1" si="0">INDEX($C$5:$R$20, COLUMN()-2, ROW()-4)</f>
        <v>#NAME?</v>
      </c>
      <c r="E5" s="20" t="str">
        <f t="shared" si="0"/>
        <v>Event Equipment (Safety Tongs)</v>
      </c>
      <c r="F5" s="20" t="str">
        <f t="shared" si="0"/>
        <v>12 Currency</v>
      </c>
      <c r="G5" s="20" t="str">
        <f t="shared" si="0"/>
        <v>110 Dust</v>
      </c>
      <c r="H5" s="20" t="str">
        <f t="shared" si="0"/>
        <v>3 Shards</v>
      </c>
      <c r="I5" s="20" t="str">
        <f t="shared" si="0"/>
        <v>12 Raid Cards</v>
      </c>
      <c r="J5" s="20" t="str">
        <f t="shared" si="0"/>
        <v>145 Dust</v>
      </c>
      <c r="K5" s="19" t="str">
        <f t="shared" si="0"/>
        <v>55 Currency</v>
      </c>
      <c r="L5" s="20" t="str">
        <f t="shared" si="0"/>
        <v>46 Currency</v>
      </c>
      <c r="M5" s="20" t="str">
        <f t="shared" si="0"/>
        <v>89 Currency</v>
      </c>
      <c r="N5" s="20" t="str">
        <f t="shared" si="0"/>
        <v>12 Rare Equipment</v>
      </c>
      <c r="O5" s="20" t="str">
        <f t="shared" si="0"/>
        <v>36 Wildcards</v>
      </c>
      <c r="P5" s="20" t="str">
        <f t="shared" si="0"/>
        <v>2 Fortune Scrolls</v>
      </c>
      <c r="Q5" s="20" t="str">
        <f t="shared" si="0"/>
        <v>306 Currency</v>
      </c>
      <c r="R5" s="20" t="str">
        <f t="shared" si="0"/>
        <v>612 Currency</v>
      </c>
    </row>
    <row r="6" spans="1:18" ht="37.5" customHeight="1">
      <c r="A6" s="8" t="s">
        <v>0</v>
      </c>
      <c r="B6" s="10" t="e">
        <f t="array" aca="1" ref="B6" ca="1">_xludf.XLOOKUP(A6,Images!$A:$A,Images!$C:$C,"")</f>
        <v>#NAME?</v>
      </c>
      <c r="C6" s="21" t="e">
        <f t="array" aca="1" ref="C6" ca="1">_xludf.XLOOKUP("Petal",Images!$A:$A,Images!$C:$C,"")</f>
        <v>#NAME?</v>
      </c>
      <c r="D6" s="18" t="e">
        <f t="array" aca="1" ref="D6" ca="1">_xludf.XLOOKUP("Sand",Images!$A:$A,Images!$C:$C,"")</f>
        <v>#NAME?</v>
      </c>
      <c r="E6" s="21" t="e">
        <f t="shared" ref="E6:R6" ca="1" si="1">INDEX($C$5:$R$20, COLUMN()-2, ROW()-4)</f>
        <v>#NAME?</v>
      </c>
      <c r="F6" s="21" t="e">
        <f t="shared" ca="1" si="1"/>
        <v>#NAME?</v>
      </c>
      <c r="G6" s="20" t="str">
        <f t="shared" si="1"/>
        <v xml:space="preserve">x25 Common Equipment </v>
      </c>
      <c r="H6" s="20" t="str">
        <f t="shared" si="1"/>
        <v>22 Currency</v>
      </c>
      <c r="I6" s="20" t="str">
        <f t="shared" si="1"/>
        <v>38 Currency</v>
      </c>
      <c r="J6" s="20" t="str">
        <f t="shared" si="1"/>
        <v>32 Common Equipment</v>
      </c>
      <c r="K6" s="20" t="str">
        <f t="shared" si="1"/>
        <v>58 Currency</v>
      </c>
      <c r="L6" s="20" t="str">
        <f t="shared" si="1"/>
        <v>49 Currency</v>
      </c>
      <c r="M6" s="20" t="str">
        <f t="shared" si="1"/>
        <v>9 Rare Equipment</v>
      </c>
      <c r="N6" s="20" t="str">
        <f t="shared" si="1"/>
        <v>597 Dust</v>
      </c>
      <c r="O6" s="20" t="str">
        <f t="shared" si="1"/>
        <v>37 Wildcards</v>
      </c>
      <c r="P6" s="20" t="str">
        <f t="shared" si="1"/>
        <v>164 Currency</v>
      </c>
      <c r="Q6" s="20" t="str">
        <f t="shared" si="1"/>
        <v>309 Currency</v>
      </c>
      <c r="R6" s="20" t="str">
        <f t="shared" si="1"/>
        <v>8 Fortune Scrolls</v>
      </c>
    </row>
    <row r="7" spans="1:18" ht="37.5" customHeight="1">
      <c r="A7" s="8" t="s">
        <v>1</v>
      </c>
      <c r="B7" s="10" t="e">
        <f t="array" aca="1" ref="B7" ca="1">_xludf.XLOOKUP(A7,Images!$A:$A,Images!$C:$C,"")</f>
        <v>#NAME?</v>
      </c>
      <c r="C7" s="20" t="s">
        <v>22</v>
      </c>
      <c r="D7" s="21" t="e">
        <f t="array" aca="1" ref="D7" ca="1">_xludf.XLOOKUP("Steel",Images!$A:$A,Images!$C:$C,"")</f>
        <v>#NAME?</v>
      </c>
      <c r="E7" s="18" t="s">
        <v>150</v>
      </c>
      <c r="F7" s="20" t="str">
        <f t="shared" ref="F7:R7" si="2">INDEX($C$5:$R$20, COLUMN()-2, ROW()-4)</f>
        <v>21 Currency</v>
      </c>
      <c r="G7" s="21" t="e">
        <f t="shared" ca="1" si="2"/>
        <v>#NAME?</v>
      </c>
      <c r="H7" s="20" t="str">
        <f t="shared" si="2"/>
        <v>2 Perks</v>
      </c>
      <c r="I7" s="20" t="str">
        <f t="shared" si="2"/>
        <v>45 Currency</v>
      </c>
      <c r="J7" s="20" t="str">
        <f t="shared" si="2"/>
        <v>38 Currency</v>
      </c>
      <c r="K7" s="20" t="str">
        <f t="shared" si="2"/>
        <v>22 Raid Cards</v>
      </c>
      <c r="L7" s="20" t="str">
        <f t="shared" si="2"/>
        <v>3 Perks</v>
      </c>
      <c r="M7" s="20" t="str">
        <f t="shared" si="2"/>
        <v>99 Currency</v>
      </c>
      <c r="N7" s="20" t="str">
        <f t="shared" si="2"/>
        <v>125 Currency</v>
      </c>
      <c r="O7" s="20" t="str">
        <f t="shared" si="2"/>
        <v>10 Perks</v>
      </c>
      <c r="P7" s="20" t="str">
        <f t="shared" si="2"/>
        <v>2 Fortune Scrolls</v>
      </c>
      <c r="Q7" s="20" t="str">
        <f t="shared" si="2"/>
        <v>79 Wildcards</v>
      </c>
      <c r="R7" s="20" t="str">
        <f t="shared" si="2"/>
        <v>621 Currency</v>
      </c>
    </row>
    <row r="8" spans="1:18" ht="37.5" customHeight="1">
      <c r="A8" s="8" t="s">
        <v>18</v>
      </c>
      <c r="B8" s="10" t="e">
        <f t="array" aca="1" ref="B8" ca="1">_xludf.XLOOKUP(A8,Images!$A:$A,Images!$C:$C,"")</f>
        <v>#NAME?</v>
      </c>
      <c r="C8" s="20" t="s">
        <v>23</v>
      </c>
      <c r="D8" s="21" t="e">
        <f t="array" aca="1" ref="D8" ca="1">_xludf.XLOOKUP("Berries",Images!$A:$A,Images!$C:$C,"")</f>
        <v>#NAME?</v>
      </c>
      <c r="E8" s="20" t="s">
        <v>151</v>
      </c>
      <c r="F8" s="18" t="s">
        <v>152</v>
      </c>
      <c r="G8" s="20" t="str">
        <f t="shared" ref="G8:R8" si="3">INDEX($C$5:$R$20, COLUMN()-2, ROW()-4)</f>
        <v>Event Equipment (Hair of Madness)</v>
      </c>
      <c r="H8" s="21" t="e">
        <f t="shared" ca="1" si="3"/>
        <v>#NAME?</v>
      </c>
      <c r="I8" s="20" t="str">
        <f t="shared" si="3"/>
        <v>14 Raid Cards</v>
      </c>
      <c r="J8" s="20" t="str">
        <f t="shared" si="3"/>
        <v>Event Equipment (Lab Coat)</v>
      </c>
      <c r="K8" s="20" t="str">
        <f t="shared" si="3"/>
        <v>9 Shards</v>
      </c>
      <c r="L8" s="19" t="str">
        <f t="shared" si="3"/>
        <v>3 Hero Weapons</v>
      </c>
      <c r="M8" s="20" t="str">
        <f t="shared" si="3"/>
        <v>Event Equipment (Master of Elements)</v>
      </c>
      <c r="N8" s="20" t="str">
        <f t="shared" si="3"/>
        <v>613 Dust</v>
      </c>
      <c r="O8" s="20" t="str">
        <f t="shared" si="3"/>
        <v>Event Equipment (Molecularization)</v>
      </c>
      <c r="P8" s="20" t="str">
        <f t="shared" si="3"/>
        <v>2 Fortune Scrolls</v>
      </c>
      <c r="Q8" s="20" t="str">
        <f t="shared" si="3"/>
        <v>Legendary (The Titan Killer)</v>
      </c>
      <c r="R8" s="19" t="str">
        <f t="shared" si="3"/>
        <v>618 Currency</v>
      </c>
    </row>
    <row r="9" spans="1:18" ht="37.5" customHeight="1">
      <c r="A9" s="8" t="s">
        <v>8</v>
      </c>
      <c r="B9" s="10" t="e">
        <f t="array" aca="1" ref="B9" ca="1">_xludf.XLOOKUP(A9,Images!$A:$A,Images!$C:$C,"")</f>
        <v>#NAME?</v>
      </c>
      <c r="C9" s="20" t="s">
        <v>153</v>
      </c>
      <c r="D9" s="20" t="s">
        <v>154</v>
      </c>
      <c r="E9" s="21" t="e">
        <f t="array" aca="1" ref="E9" ca="1">_xludf.XLOOKUP("Lightning",Images!$A:$A,Images!$C:$C,"")</f>
        <v>#NAME?</v>
      </c>
      <c r="F9" s="20" t="s">
        <v>31</v>
      </c>
      <c r="G9" s="18" t="s">
        <v>155</v>
      </c>
      <c r="H9" s="20" t="str">
        <f t="shared" ref="H9:R9" si="4">INDEX($C$5:$R$20, COLUMN()-2, ROW()-4)</f>
        <v>1 Skill Point</v>
      </c>
      <c r="I9" s="22" t="e">
        <f t="shared" ca="1" si="4"/>
        <v>#NAME?</v>
      </c>
      <c r="J9" s="20" t="str">
        <f t="shared" si="4"/>
        <v>6 Shards</v>
      </c>
      <c r="K9" s="20" t="str">
        <f t="shared" si="4"/>
        <v>71 Currency</v>
      </c>
      <c r="L9" s="20" t="str">
        <f t="shared" si="4"/>
        <v>9 Shards</v>
      </c>
      <c r="M9" s="20" t="str">
        <f t="shared" si="4"/>
        <v>15 Shards</v>
      </c>
      <c r="N9" s="20" t="str">
        <f t="shared" si="4"/>
        <v>661 Dust</v>
      </c>
      <c r="O9" s="20" t="str">
        <f t="shared" si="4"/>
        <v>23 Shards</v>
      </c>
      <c r="P9" s="20" t="str">
        <f t="shared" si="4"/>
        <v>177 Currency</v>
      </c>
      <c r="Q9" s="20" t="str">
        <f t="shared" si="4"/>
        <v>46 Shards</v>
      </c>
      <c r="R9" s="20" t="str">
        <f t="shared" si="4"/>
        <v>8 Fortune Scrolls</v>
      </c>
    </row>
    <row r="10" spans="1:18" ht="37.5" customHeight="1">
      <c r="A10" s="8" t="s">
        <v>16</v>
      </c>
      <c r="B10" s="10" t="e">
        <f t="array" aca="1" ref="B10" ca="1">_xludf.XLOOKUP(A10,Images!$A:$A,Images!$C:$C,"")</f>
        <v>#NAME?</v>
      </c>
      <c r="C10" s="20" t="s">
        <v>156</v>
      </c>
      <c r="D10" s="20" t="s">
        <v>157</v>
      </c>
      <c r="E10" s="20" t="s">
        <v>33</v>
      </c>
      <c r="F10" s="21" t="e">
        <f t="array" aca="1" ref="F10" ca="1">_xludf.XLOOKUP("Pepper",Images!$A:$A,Images!$C:$C,"")</f>
        <v>#NAME?</v>
      </c>
      <c r="G10" s="20" t="s">
        <v>106</v>
      </c>
      <c r="H10" s="18" t="s">
        <v>38</v>
      </c>
      <c r="I10" s="20" t="str">
        <f t="shared" ref="I10:R10" si="5">INDEX($C$5:$R$20, COLUMN()-2, ROW()-4)</f>
        <v>8 Pet Eggs</v>
      </c>
      <c r="J10" s="22" t="e">
        <f t="shared" ca="1" si="5"/>
        <v>#NAME?</v>
      </c>
      <c r="K10" s="20" t="str">
        <f t="shared" si="5"/>
        <v>68 Currency</v>
      </c>
      <c r="L10" s="20" t="str">
        <f t="shared" si="5"/>
        <v>10 Pet Eggs</v>
      </c>
      <c r="M10" s="20" t="str">
        <f t="shared" si="5"/>
        <v>102 Currency</v>
      </c>
      <c r="N10" s="20" t="str">
        <f t="shared" si="5"/>
        <v>22 Pet Eggs</v>
      </c>
      <c r="O10" s="20" t="str">
        <f t="shared" si="5"/>
        <v>157 Currency</v>
      </c>
      <c r="P10" s="20" t="str">
        <f t="shared" si="5"/>
        <v>29 Pet Eggs</v>
      </c>
      <c r="Q10" s="20" t="str">
        <f t="shared" si="5"/>
        <v>319 Currency</v>
      </c>
      <c r="R10" s="20" t="str">
        <f t="shared" si="5"/>
        <v>104 Pet Eggs</v>
      </c>
    </row>
    <row r="11" spans="1:18" ht="37.5" customHeight="1">
      <c r="A11" s="8" t="s">
        <v>3</v>
      </c>
      <c r="B11" s="10" t="e">
        <f t="array" aca="1" ref="B11" ca="1">_xludf.XLOOKUP(A11,Images!$A:$A,Images!$C:$C,"")</f>
        <v>#NAME?</v>
      </c>
      <c r="C11" s="20" t="s">
        <v>40</v>
      </c>
      <c r="D11" s="20" t="s">
        <v>44</v>
      </c>
      <c r="E11" s="20" t="s">
        <v>158</v>
      </c>
      <c r="F11" s="20" t="s">
        <v>100</v>
      </c>
      <c r="G11" s="22" t="e">
        <f t="array" aca="1" ref="G11" ca="1">_xludf.XLOOKUP("scale",Images!$A:$A,Images!$C:$C,"")</f>
        <v>#NAME?</v>
      </c>
      <c r="H11" s="20" t="s">
        <v>159</v>
      </c>
      <c r="I11" s="18" t="s">
        <v>160</v>
      </c>
      <c r="J11" s="20" t="str">
        <f t="shared" ref="J11:R11" si="6">INDEX($C$5:$R$20, COLUMN()-2, ROW()-4)</f>
        <v>58 Currency</v>
      </c>
      <c r="K11" s="20" t="e">
        <f t="shared" ca="1" si="6"/>
        <v>#NAME?</v>
      </c>
      <c r="L11" s="20" t="str">
        <f t="shared" si="6"/>
        <v>376 Dust</v>
      </c>
      <c r="M11" s="20" t="str">
        <f t="shared" si="6"/>
        <v>97 Currency + Avatar</v>
      </c>
      <c r="N11" s="20" t="str">
        <f t="shared" si="6"/>
        <v>727 Dust</v>
      </c>
      <c r="O11" s="19" t="str">
        <f t="shared" si="6"/>
        <v>173 Currency</v>
      </c>
      <c r="P11" s="20" t="str">
        <f t="shared" si="6"/>
        <v>48 Wildcards</v>
      </c>
      <c r="Q11" s="20" t="str">
        <f t="shared" si="6"/>
        <v>112 Raid Cards</v>
      </c>
      <c r="R11" s="20" t="str">
        <f t="shared" si="6"/>
        <v>3206 Dust</v>
      </c>
    </row>
    <row r="12" spans="1:18" ht="37.5" customHeight="1">
      <c r="A12" s="8" t="s">
        <v>21</v>
      </c>
      <c r="B12" s="10" t="e">
        <f t="array" aca="1" ref="B12" ca="1">_xludf.XLOOKUP(A12,Images!$A:$A,Images!$C:$C,"")</f>
        <v>#NAME?</v>
      </c>
      <c r="C12" s="20" t="s">
        <v>161</v>
      </c>
      <c r="D12" s="20" t="s">
        <v>130</v>
      </c>
      <c r="E12" s="20" t="s">
        <v>44</v>
      </c>
      <c r="F12" s="20" t="s">
        <v>34</v>
      </c>
      <c r="G12" s="20" t="s">
        <v>162</v>
      </c>
      <c r="H12" s="22" t="e">
        <f t="array" aca="1" ref="H12" ca="1">_xludf.XLOOKUP("Power",Images!$A:$A,Images!$C:$C,"")</f>
        <v>#NAME?</v>
      </c>
      <c r="I12" s="20" t="s">
        <v>163</v>
      </c>
      <c r="J12" s="18" t="s">
        <v>37</v>
      </c>
      <c r="K12" s="20" t="str">
        <f t="shared" ref="K12:R12" si="7">INDEX($C$5:$R$20, COLUMN()-2, ROW()-4)</f>
        <v>3 Skill Points</v>
      </c>
      <c r="L12" s="20" t="str">
        <f t="shared" si="7"/>
        <v>3 Skill Points</v>
      </c>
      <c r="M12" s="20" t="e">
        <f t="shared" ca="1" si="7"/>
        <v>#NAME?</v>
      </c>
      <c r="N12" s="20" t="str">
        <f t="shared" si="7"/>
        <v>696 Dust</v>
      </c>
      <c r="O12" s="20" t="str">
        <f t="shared" si="7"/>
        <v>7 Skill Points</v>
      </c>
      <c r="P12" s="20" t="str">
        <f t="shared" si="7"/>
        <v>184 Currency</v>
      </c>
      <c r="Q12" s="20" t="str">
        <f t="shared" si="7"/>
        <v>13 Skill Points</v>
      </c>
      <c r="R12" s="20" t="str">
        <f t="shared" si="7"/>
        <v>8 Fortune Scrolls</v>
      </c>
    </row>
    <row r="13" spans="1:18" ht="37.5" customHeight="1">
      <c r="A13" s="8" t="s">
        <v>9</v>
      </c>
      <c r="B13" s="10" t="e">
        <f t="array" aca="1" ref="B13" ca="1">_xludf.XLOOKUP(A13,Images!$A:$A,Images!$C:$C,"")</f>
        <v>#NAME?</v>
      </c>
      <c r="C13" s="19" t="s">
        <v>164</v>
      </c>
      <c r="D13" s="20" t="s">
        <v>163</v>
      </c>
      <c r="E13" s="20" t="s">
        <v>58</v>
      </c>
      <c r="F13" s="20" t="s">
        <v>165</v>
      </c>
      <c r="G13" s="20" t="s">
        <v>166</v>
      </c>
      <c r="H13" s="20" t="s">
        <v>167</v>
      </c>
      <c r="I13" s="20" t="e">
        <f t="array" aca="1" ref="I13" ca="1">_xludf.XLOOKUP("Flame",Images!$A:$A,Images!$C:$C,"")</f>
        <v>#NAME?</v>
      </c>
      <c r="J13" s="20" t="s">
        <v>53</v>
      </c>
      <c r="K13" s="18" t="s">
        <v>168</v>
      </c>
      <c r="L13" s="20" t="str">
        <f t="shared" ref="L13:R13" si="8">INDEX($C$5:$R$20, COLUMN()-2, ROW()-4)</f>
        <v>31 Raid Cards</v>
      </c>
      <c r="M13" s="20" t="e">
        <f t="shared" ca="1" si="8"/>
        <v>#NAME?</v>
      </c>
      <c r="N13" s="20" t="str">
        <f t="shared" si="8"/>
        <v>55 Raid Cards</v>
      </c>
      <c r="O13" s="20" t="str">
        <f t="shared" si="8"/>
        <v>193 Currency</v>
      </c>
      <c r="P13" s="20" t="str">
        <f t="shared" si="8"/>
        <v>70 Raid Cards</v>
      </c>
      <c r="Q13" s="20" t="str">
        <f t="shared" si="8"/>
        <v>355 Currency</v>
      </c>
      <c r="R13" s="20" t="str">
        <f t="shared" si="8"/>
        <v>220 Raid Cards</v>
      </c>
    </row>
    <row r="14" spans="1:18" ht="37.5" customHeight="1">
      <c r="A14" s="8" t="s">
        <v>11</v>
      </c>
      <c r="B14" s="10" t="e">
        <f t="array" aca="1" ref="B14" ca="1">_xludf.XLOOKUP(A14,Images!$A:$A,Images!$C:$C,"")</f>
        <v>#NAME?</v>
      </c>
      <c r="C14" s="20" t="s">
        <v>169</v>
      </c>
      <c r="D14" s="20" t="s">
        <v>170</v>
      </c>
      <c r="E14" s="20" t="s">
        <v>62</v>
      </c>
      <c r="F14" s="19" t="s">
        <v>171</v>
      </c>
      <c r="G14" s="20" t="s">
        <v>165</v>
      </c>
      <c r="H14" s="20" t="s">
        <v>172</v>
      </c>
      <c r="I14" s="20" t="s">
        <v>173</v>
      </c>
      <c r="J14" s="20" t="s">
        <v>53</v>
      </c>
      <c r="K14" s="20" t="s">
        <v>174</v>
      </c>
      <c r="L14" s="18" t="s">
        <v>175</v>
      </c>
      <c r="M14" s="20" t="str">
        <f t="shared" ref="M14:R14" si="9">INDEX($C$5:$R$20, COLUMN()-2, ROW()-4)</f>
        <v>129 Currency</v>
      </c>
      <c r="N14" s="20" t="e">
        <f t="shared" ca="1" si="9"/>
        <v>#NAME?</v>
      </c>
      <c r="O14" s="20" t="str">
        <f t="shared" si="9"/>
        <v>Leg. Equipment (Gunpowder Sparks)</v>
      </c>
      <c r="P14" s="20" t="str">
        <f t="shared" si="9"/>
        <v>50 Wildcards</v>
      </c>
      <c r="Q14" s="20" t="str">
        <f t="shared" si="9"/>
        <v>Legendary (Mad Cap Goggles)</v>
      </c>
      <c r="R14" s="20" t="str">
        <f t="shared" si="9"/>
        <v>652 Currency</v>
      </c>
    </row>
    <row r="15" spans="1:18" ht="37.5" customHeight="1">
      <c r="A15" s="8" t="s">
        <v>7</v>
      </c>
      <c r="B15" s="10" t="e">
        <f t="array" aca="1" ref="B15" ca="1">_xludf.XLOOKUP(A15,Images!$A:$A,Images!$C:$C,"")</f>
        <v>#NAME?</v>
      </c>
      <c r="C15" s="20" t="s">
        <v>176</v>
      </c>
      <c r="D15" s="20" t="s">
        <v>177</v>
      </c>
      <c r="E15" s="20" t="s">
        <v>178</v>
      </c>
      <c r="F15" s="20" t="s">
        <v>41</v>
      </c>
      <c r="G15" s="20" t="s">
        <v>179</v>
      </c>
      <c r="H15" s="20" t="s">
        <v>180</v>
      </c>
      <c r="I15" s="20" t="s">
        <v>181</v>
      </c>
      <c r="J15" s="20" t="e">
        <f t="array" aca="1" ref="J15" ca="1">_xludf.XLOOKUP("Crystal",Images!$A:$A,Images!$C:$C,"")</f>
        <v>#NAME?</v>
      </c>
      <c r="K15" s="20" t="e">
        <f t="array" aca="1" ref="K15" ca="1">_xludf.XLOOKUP("Egg",Images!$A:$A,Images!$C:$C,"")</f>
        <v>#NAME?</v>
      </c>
      <c r="L15" s="20" t="s">
        <v>182</v>
      </c>
      <c r="M15" s="18" t="s">
        <v>183</v>
      </c>
      <c r="N15" s="20" t="str">
        <f t="shared" ref="N15:R15" si="10">INDEX($C$5:$R$20, COLUMN()-2, ROW()-4)</f>
        <v>998 Dust</v>
      </c>
      <c r="O15" s="20" t="str">
        <f t="shared" si="10"/>
        <v>227 Currency</v>
      </c>
      <c r="P15" s="20" t="str">
        <f t="shared" si="10"/>
        <v>1222 Dust</v>
      </c>
      <c r="Q15" s="20" t="str">
        <f t="shared" si="10"/>
        <v>389 Currency</v>
      </c>
      <c r="R15" s="20" t="str">
        <f t="shared" si="10"/>
        <v>695 Currency</v>
      </c>
    </row>
    <row r="16" spans="1:18" ht="37.5" customHeight="1">
      <c r="A16" s="8" t="s">
        <v>95</v>
      </c>
      <c r="B16" s="10" t="e">
        <f t="array" aca="1" ref="B16" ca="1">_xludf.XLOOKUP(A16,Images!$A:$A,Images!$C:$C,"")</f>
        <v>#NAME?</v>
      </c>
      <c r="C16" s="20" t="s">
        <v>80</v>
      </c>
      <c r="D16" s="20" t="s">
        <v>184</v>
      </c>
      <c r="E16" s="20" t="s">
        <v>185</v>
      </c>
      <c r="F16" s="20" t="s">
        <v>186</v>
      </c>
      <c r="G16" s="20" t="s">
        <v>187</v>
      </c>
      <c r="H16" s="20" t="s">
        <v>188</v>
      </c>
      <c r="I16" s="20" t="s">
        <v>189</v>
      </c>
      <c r="J16" s="20" t="s">
        <v>190</v>
      </c>
      <c r="K16" s="20" t="s">
        <v>191</v>
      </c>
      <c r="L16" s="20" t="e">
        <f t="array" aca="1" ref="L16" ca="1">_xludf.XLOOKUP("Essence",Images!$A:$A,Images!$C:$C,"")</f>
        <v>#NAME?</v>
      </c>
      <c r="M16" s="20" t="s">
        <v>192</v>
      </c>
      <c r="N16" s="18" t="s">
        <v>193</v>
      </c>
      <c r="O16" s="20" t="str">
        <f t="shared" ref="O16:R16" si="11">INDEX($C$5:$R$20, COLUMN()-2, ROW()-4)</f>
        <v>13 Fortune Weapons</v>
      </c>
      <c r="P16" s="20" t="str">
        <f t="shared" si="11"/>
        <v>271 Currency</v>
      </c>
      <c r="Q16" s="20" t="str">
        <f t="shared" si="11"/>
        <v>21 Fortune Weapons</v>
      </c>
      <c r="R16" s="20" t="str">
        <f t="shared" si="11"/>
        <v>722 Currency</v>
      </c>
    </row>
    <row r="17" spans="1:18" ht="37.5" customHeight="1">
      <c r="A17" s="8" t="s">
        <v>96</v>
      </c>
      <c r="B17" s="10" t="e">
        <f t="array" aca="1" ref="B17" ca="1">_xludf.XLOOKUP(A17,Images!$A:$A,Images!$C:$C,"")</f>
        <v>#NAME?</v>
      </c>
      <c r="C17" s="20" t="s">
        <v>194</v>
      </c>
      <c r="D17" s="20" t="s">
        <v>195</v>
      </c>
      <c r="E17" s="20" t="s">
        <v>196</v>
      </c>
      <c r="F17" s="20" t="s">
        <v>36</v>
      </c>
      <c r="G17" s="20" t="s">
        <v>197</v>
      </c>
      <c r="H17" s="20" t="s">
        <v>198</v>
      </c>
      <c r="I17" s="19" t="s">
        <v>199</v>
      </c>
      <c r="J17" s="20" t="s">
        <v>200</v>
      </c>
      <c r="K17" s="20" t="s">
        <v>201</v>
      </c>
      <c r="L17" s="20" t="s">
        <v>202</v>
      </c>
      <c r="M17" s="20" t="s">
        <v>203</v>
      </c>
      <c r="N17" s="20" t="s">
        <v>204</v>
      </c>
      <c r="O17" s="18" t="s">
        <v>205</v>
      </c>
      <c r="P17" s="20" t="e">
        <f t="shared" ref="P17:R17" ca="1" si="12">INDEX($C$5:$R$20, COLUMN()-2, ROW()-4)</f>
        <v>#NAME?</v>
      </c>
      <c r="Q17" s="20" t="str">
        <f t="shared" si="12"/>
        <v>444 Currency</v>
      </c>
      <c r="R17" s="20" t="str">
        <f t="shared" si="12"/>
        <v>30 Skill Points</v>
      </c>
    </row>
    <row r="18" spans="1:18" ht="37.5" customHeight="1">
      <c r="A18" s="8" t="s">
        <v>10</v>
      </c>
      <c r="B18" s="10" t="e">
        <f t="array" aca="1" ref="B18" ca="1">_xludf.XLOOKUP(A18,Images!$A:$A,Images!$C:$C,"")</f>
        <v>#NAME?</v>
      </c>
      <c r="C18" s="20" t="s">
        <v>78</v>
      </c>
      <c r="D18" s="20" t="s">
        <v>71</v>
      </c>
      <c r="E18" s="20" t="s">
        <v>78</v>
      </c>
      <c r="F18" s="20" t="s">
        <v>78</v>
      </c>
      <c r="G18" s="20" t="s">
        <v>206</v>
      </c>
      <c r="H18" s="20" t="s">
        <v>207</v>
      </c>
      <c r="I18" s="19" t="s">
        <v>208</v>
      </c>
      <c r="J18" s="20" t="s">
        <v>209</v>
      </c>
      <c r="K18" s="20" t="s">
        <v>210</v>
      </c>
      <c r="L18" s="20" t="s">
        <v>211</v>
      </c>
      <c r="M18" s="20" t="s">
        <v>212</v>
      </c>
      <c r="N18" s="20" t="s">
        <v>213</v>
      </c>
      <c r="O18" s="20" t="e">
        <f t="array" aca="1" ref="O18" ca="1">_xludf.XLOOKUP("Feather",Images!$A:$A,Images!$C:$C,"")</f>
        <v>#NAME?</v>
      </c>
      <c r="P18" s="18" t="s">
        <v>214</v>
      </c>
      <c r="Q18" s="19" t="str">
        <f t="shared" ref="Q18:R18" si="13">INDEX($C$5:$R$20, COLUMN()-2, ROW()-4)</f>
        <v>115 Wildcards</v>
      </c>
      <c r="R18" s="19" t="str">
        <f t="shared" si="13"/>
        <v>1 Unique Equipment (Helm)</v>
      </c>
    </row>
    <row r="19" spans="1:18" ht="37.5" customHeight="1">
      <c r="A19" s="8" t="s">
        <v>20</v>
      </c>
      <c r="B19" s="10" t="e">
        <f t="array" aca="1" ref="B19" ca="1">_xludf.XLOOKUP(A19,Images!$A:$A,Images!$C:$C,"")</f>
        <v>#NAME?</v>
      </c>
      <c r="C19" s="20" t="s">
        <v>215</v>
      </c>
      <c r="D19" s="20" t="s">
        <v>216</v>
      </c>
      <c r="E19" s="20" t="s">
        <v>217</v>
      </c>
      <c r="F19" s="20" t="s">
        <v>218</v>
      </c>
      <c r="G19" s="20" t="s">
        <v>219</v>
      </c>
      <c r="H19" s="20" t="s">
        <v>220</v>
      </c>
      <c r="I19" s="20" t="s">
        <v>221</v>
      </c>
      <c r="J19" s="20" t="s">
        <v>222</v>
      </c>
      <c r="K19" s="20" t="s">
        <v>223</v>
      </c>
      <c r="L19" s="20" t="s">
        <v>224</v>
      </c>
      <c r="M19" s="20" t="s">
        <v>225</v>
      </c>
      <c r="N19" s="20" t="s">
        <v>226</v>
      </c>
      <c r="O19" s="20" t="s">
        <v>227</v>
      </c>
      <c r="P19" s="19" t="s">
        <v>228</v>
      </c>
      <c r="Q19" s="18" t="e">
        <f t="array" aca="1" ref="Q19" ca="1">_xludf.XLOOKUP("Spirit",Images!$A:$A,Images!$C:$C,"")</f>
        <v>#NAME?</v>
      </c>
      <c r="R19" s="19" t="str">
        <f t="array" ref="R19">INDEX($C$5:$R$20, COLUMN()-2, ROW()-4)</f>
        <v>228 Wildcards</v>
      </c>
    </row>
    <row r="20" spans="1:18" ht="37.5" customHeight="1">
      <c r="A20" s="8" t="s">
        <v>13</v>
      </c>
      <c r="B20" s="10" t="e">
        <f t="array" aca="1" ref="B20" ca="1">_xludf.XLOOKUP(A20,Images!$A:$A,Images!$C:$C,"")</f>
        <v>#NAME?</v>
      </c>
      <c r="C20" s="20" t="s">
        <v>120</v>
      </c>
      <c r="D20" s="20" t="s">
        <v>121</v>
      </c>
      <c r="E20" s="20" t="s">
        <v>229</v>
      </c>
      <c r="F20" s="19" t="s">
        <v>230</v>
      </c>
      <c r="G20" s="20" t="s">
        <v>121</v>
      </c>
      <c r="H20" s="20" t="s">
        <v>231</v>
      </c>
      <c r="I20" s="20" t="s">
        <v>232</v>
      </c>
      <c r="J20" s="20" t="s">
        <v>121</v>
      </c>
      <c r="K20" s="20" t="s">
        <v>123</v>
      </c>
      <c r="L20" s="20" t="s">
        <v>124</v>
      </c>
      <c r="M20" s="20" t="s">
        <v>125</v>
      </c>
      <c r="N20" s="20" t="s">
        <v>126</v>
      </c>
      <c r="O20" s="20" t="s">
        <v>233</v>
      </c>
      <c r="P20" s="19" t="s">
        <v>234</v>
      </c>
      <c r="Q20" s="19" t="s">
        <v>235</v>
      </c>
      <c r="R20" s="18" t="s">
        <v>236</v>
      </c>
    </row>
  </sheetData>
  <mergeCells count="1">
    <mergeCell ref="A3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3" width="12.6640625" customWidth="1"/>
    <col min="4" max="4" width="12.33203125" customWidth="1"/>
    <col min="5" max="5" width="11.88671875" customWidth="1"/>
    <col min="6" max="7" width="12.33203125" customWidth="1"/>
    <col min="8" max="8" width="12.6640625" customWidth="1"/>
    <col min="9" max="9" width="12.33203125" customWidth="1"/>
    <col min="10" max="10" width="13.88671875" customWidth="1"/>
    <col min="11" max="11" width="11.44140625" customWidth="1"/>
    <col min="12" max="12" width="12.21875" customWidth="1"/>
    <col min="13" max="13" width="12.33203125" customWidth="1"/>
    <col min="14" max="14" width="11" customWidth="1"/>
    <col min="15" max="15" width="12.33203125" customWidth="1"/>
    <col min="16" max="16" width="11.21875" customWidth="1"/>
    <col min="17" max="18" width="12.33203125" customWidth="1"/>
  </cols>
  <sheetData>
    <row r="1" spans="1:18" ht="37.5" hidden="1" customHeight="1">
      <c r="A1" s="2" t="s">
        <v>237</v>
      </c>
      <c r="B1" s="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37.5" hidden="1" customHeight="1">
      <c r="A2" s="2" t="s">
        <v>15</v>
      </c>
      <c r="B2" s="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7.5" customHeight="1">
      <c r="A3" s="62" t="e">
        <f t="array" aca="1" ref="A3" ca="1">"Recipes Remaining:
" &amp; 136-((16 - SUM((COLUMN(C5:R20)-ROW(C5:R20)=-2)*IF(C5:R20&lt;&gt;"",1,0)))+IF(COUNTIF(C5:R20,"&lt;&gt;")&gt;=256,0,FLOOR((256-(COUNTIF(C5:R20,"&lt;&gt;")+(16 - SUM((COLUMN(C5:R20)-ROW(C5:R20)=-2)*IF(C5:R20&lt;&gt;"",1,0)))))/2,1))) &amp; "/136" &amp; "
% Complete: " &amp; ROUND((136-((16 - SUM((COLUMN(C5:R20)-ROW(C5:R20)=-2)*IF(C5:R20&lt;&gt;"",1,0)))+IF(COUNTIF(C5:R20,"&lt;&gt;")&gt;=256,0,FLOOR((256-(COUNTIF(C5:R20,"&lt;&gt;")+(16 - SUM((COLUMN(C5:R20)-ROW(C5:R20)=-2)*IF(C5:R20&lt;&gt;"",1,0)))))/2,1))))/136,4) * 100 &amp; "%"</f>
        <v>#NAME?</v>
      </c>
      <c r="B3" s="59"/>
      <c r="C3" s="24" t="s">
        <v>0</v>
      </c>
      <c r="D3" s="25" t="s">
        <v>18</v>
      </c>
      <c r="E3" s="25" t="s">
        <v>16</v>
      </c>
      <c r="F3" s="25" t="s">
        <v>2</v>
      </c>
      <c r="G3" s="25" t="s">
        <v>4</v>
      </c>
      <c r="H3" s="25" t="s">
        <v>95</v>
      </c>
      <c r="I3" s="25" t="s">
        <v>17</v>
      </c>
      <c r="J3" s="25" t="s">
        <v>7</v>
      </c>
      <c r="K3" s="25" t="s">
        <v>11</v>
      </c>
      <c r="L3" s="25" t="s">
        <v>3</v>
      </c>
      <c r="M3" s="25" t="s">
        <v>10</v>
      </c>
      <c r="N3" s="25" t="s">
        <v>9</v>
      </c>
      <c r="O3" s="25" t="s">
        <v>5</v>
      </c>
      <c r="P3" s="25" t="s">
        <v>13</v>
      </c>
      <c r="Q3" s="25" t="s">
        <v>8</v>
      </c>
      <c r="R3" s="25" t="s">
        <v>6</v>
      </c>
    </row>
    <row r="4" spans="1:18" ht="37.5" customHeight="1">
      <c r="A4" s="60"/>
      <c r="B4" s="61"/>
      <c r="C4" s="25" t="e">
        <f t="array" aca="1" ref="C4" ca="1">_xludf.XLOOKUP(C3,Images!$A:$A,Images!$C:$C,"")</f>
        <v>#NAME?</v>
      </c>
      <c r="D4" s="25" t="e">
        <f t="array" aca="1" ref="D4" ca="1">_xludf.XLOOKUP(D3,Images!$A:$A,Images!$C:$C,"")</f>
        <v>#NAME?</v>
      </c>
      <c r="E4" s="25" t="e">
        <f t="array" aca="1" ref="E4" ca="1">_xludf.XLOOKUP(E3,Images!$A:$A,Images!$C:$C,"")</f>
        <v>#NAME?</v>
      </c>
      <c r="F4" s="25" t="e">
        <f t="array" aca="1" ref="F4" ca="1">_xludf.XLOOKUP(F3,Images!$A:$A,Images!$C:$C,"")</f>
        <v>#NAME?</v>
      </c>
      <c r="G4" s="25" t="e">
        <f t="array" aca="1" ref="G4" ca="1">_xludf.XLOOKUP(G3,Images!$A:$A,Images!$C:$C,"")</f>
        <v>#NAME?</v>
      </c>
      <c r="H4" s="25" t="e">
        <f t="array" aca="1" ref="H4" ca="1">_xludf.XLOOKUP(H3,Images!$A:$A,Images!$C:$C,"")</f>
        <v>#NAME?</v>
      </c>
      <c r="I4" s="25" t="e">
        <f t="array" aca="1" ref="I4" ca="1">_xludf.XLOOKUP(I3,Images!$A:$A,Images!$C:$C,"")</f>
        <v>#NAME?</v>
      </c>
      <c r="J4" s="25" t="e">
        <f t="array" aca="1" ref="J4" ca="1">_xludf.XLOOKUP(J3,Images!$A:$A,Images!$C:$C,"")</f>
        <v>#NAME?</v>
      </c>
      <c r="K4" s="25" t="e">
        <f t="array" aca="1" ref="K4" ca="1">_xludf.XLOOKUP(K3,Images!$A:$A,Images!$C:$C,"")</f>
        <v>#NAME?</v>
      </c>
      <c r="L4" s="25" t="e">
        <f t="array" aca="1" ref="L4" ca="1">_xludf.XLOOKUP(L3,Images!$A:$A,Images!$C:$C,"")</f>
        <v>#NAME?</v>
      </c>
      <c r="M4" s="25" t="e">
        <f t="array" aca="1" ref="M4" ca="1">_xludf.XLOOKUP(M3,Images!$A:$A,Images!$C:$C,"")</f>
        <v>#NAME?</v>
      </c>
      <c r="N4" s="25" t="e">
        <f t="array" aca="1" ref="N4" ca="1">_xludf.XLOOKUP(N3,Images!$A:$A,Images!$C:$C,"")</f>
        <v>#NAME?</v>
      </c>
      <c r="O4" s="25" t="e">
        <f t="array" aca="1" ref="O4" ca="1">_xludf.XLOOKUP(O3,Images!$A:$A,Images!$C:$C,"")</f>
        <v>#NAME?</v>
      </c>
      <c r="P4" s="25" t="e">
        <f t="array" aca="1" ref="P4" ca="1">_xludf.XLOOKUP(P3,Images!$A:$A,Images!$C:$C,"")</f>
        <v>#NAME?</v>
      </c>
      <c r="Q4" s="25" t="e">
        <f t="array" aca="1" ref="Q4" ca="1">_xludf.XLOOKUP(Q3,Images!$A:$A,Images!$C:$C,"")</f>
        <v>#NAME?</v>
      </c>
      <c r="R4" s="25" t="e">
        <f t="array" aca="1" ref="R4" ca="1">_xludf.XLOOKUP(R3,Images!$A:$A,Images!$C:$C,"")</f>
        <v>#NAME?</v>
      </c>
    </row>
    <row r="5" spans="1:18" ht="37.5" customHeight="1">
      <c r="A5" s="26" t="s">
        <v>0</v>
      </c>
      <c r="B5" s="25" t="e">
        <f t="array" aca="1" ref="B5" ca="1">_xludf.XLOOKUP(A5,Images!$A:$A,Images!$C:$C,"")</f>
        <v>#NAME?</v>
      </c>
      <c r="C5" s="27" t="e">
        <f t="array" aca="1" ref="C5" ca="1">_xludf.XLOOKUP("Petal",Images!$A:$A,Images!$C:$C,"")</f>
        <v>#NAME?</v>
      </c>
      <c r="D5" s="28" t="s">
        <v>238</v>
      </c>
      <c r="E5" s="29" t="s">
        <v>239</v>
      </c>
      <c r="F5" s="29" t="s">
        <v>33</v>
      </c>
      <c r="G5" s="29" t="s">
        <v>240</v>
      </c>
      <c r="H5" s="29" t="s">
        <v>241</v>
      </c>
      <c r="I5" s="29" t="s">
        <v>100</v>
      </c>
      <c r="J5" s="29" t="s">
        <v>242</v>
      </c>
      <c r="K5" s="28" t="s">
        <v>243</v>
      </c>
      <c r="L5" s="29" t="s">
        <v>171</v>
      </c>
      <c r="M5" s="29" t="s">
        <v>244</v>
      </c>
      <c r="N5" s="29" t="s">
        <v>245</v>
      </c>
      <c r="O5" s="29" t="s">
        <v>132</v>
      </c>
      <c r="P5" s="29" t="s">
        <v>246</v>
      </c>
      <c r="Q5" s="29" t="s">
        <v>247</v>
      </c>
      <c r="R5" s="29" t="s">
        <v>246</v>
      </c>
    </row>
    <row r="6" spans="1:18" ht="37.5" customHeight="1">
      <c r="A6" s="26" t="s">
        <v>18</v>
      </c>
      <c r="B6" s="25" t="e">
        <f t="array" aca="1" ref="B6" ca="1">_xludf.XLOOKUP(A6,Images!$A:$A,Images!$C:$C,"")</f>
        <v>#NAME?</v>
      </c>
      <c r="C6" s="28" t="s">
        <v>238</v>
      </c>
      <c r="D6" s="27" t="e">
        <f t="array" aca="1" ref="D6" ca="1">_xludf.XLOOKUP("Berries",Images!$A:$A,Images!$C:$C,"")</f>
        <v>#NAME?</v>
      </c>
      <c r="E6" s="29" t="e">
        <f t="array" aca="1" ref="E6" ca="1">_xludf.XLOOKUP("Poison",Images!$A:$A,Images!$C:$C,"")</f>
        <v>#NAME?</v>
      </c>
      <c r="F6" s="29" t="s">
        <v>248</v>
      </c>
      <c r="G6" s="29" t="s">
        <v>34</v>
      </c>
      <c r="H6" s="29" t="e">
        <f t="array" aca="1" ref="H6" ca="1">_xludf.XLOOKUP("Essence",Images!$A:$A,Images!$C:$C,"")</f>
        <v>#NAME?</v>
      </c>
      <c r="I6" s="30" t="s">
        <v>41</v>
      </c>
      <c r="J6" s="29" t="s">
        <v>36</v>
      </c>
      <c r="K6" s="29" t="s">
        <v>249</v>
      </c>
      <c r="L6" s="29" t="s">
        <v>163</v>
      </c>
      <c r="M6" s="29" t="s">
        <v>250</v>
      </c>
      <c r="N6" s="29" t="s">
        <v>251</v>
      </c>
      <c r="O6" s="29" t="s">
        <v>250</v>
      </c>
      <c r="P6" s="29" t="s">
        <v>182</v>
      </c>
      <c r="Q6" s="30" t="s">
        <v>252</v>
      </c>
      <c r="R6" s="29" t="s">
        <v>253</v>
      </c>
    </row>
    <row r="7" spans="1:18" ht="37.5" customHeight="1">
      <c r="A7" s="26" t="s">
        <v>16</v>
      </c>
      <c r="B7" s="25" t="e">
        <f t="array" aca="1" ref="B7" ca="1">_xludf.XLOOKUP(A7,Images!$A:$A,Images!$C:$C,"")</f>
        <v>#NAME?</v>
      </c>
      <c r="C7" s="29" t="s">
        <v>239</v>
      </c>
      <c r="D7" s="29" t="e">
        <f t="array" aca="1" ref="D7" ca="1">_xludf.XLOOKUP("Poison",Images!$A:$A,Images!$C:$C,"")</f>
        <v>#NAME?</v>
      </c>
      <c r="E7" s="27" t="e">
        <f t="array" aca="1" ref="E7" ca="1">_xludf.XLOOKUP("Water",Images!$A:$A,Images!$C:$C,"")</f>
        <v>#NAME?</v>
      </c>
      <c r="F7" s="29" t="e">
        <f t="array" aca="1" ref="F7" ca="1">_xludf.XLOOKUP("Mushroom",Images!$A:$A,Images!$C:$C,"")</f>
        <v>#NAME?</v>
      </c>
      <c r="G7" s="29" t="s">
        <v>254</v>
      </c>
      <c r="H7" s="29" t="s">
        <v>172</v>
      </c>
      <c r="I7" s="29" t="e">
        <f t="array" aca="1" ref="I7" ca="1">_xludf.XLOOKUP("Lightning",Images!$A:$A,Images!$C:$C,"")</f>
        <v>#NAME?</v>
      </c>
      <c r="J7" s="29" t="s">
        <v>255</v>
      </c>
      <c r="K7" s="29" t="s">
        <v>256</v>
      </c>
      <c r="L7" s="29" t="s">
        <v>257</v>
      </c>
      <c r="M7" s="29" t="s">
        <v>166</v>
      </c>
      <c r="N7" s="29" t="s">
        <v>256</v>
      </c>
      <c r="O7" s="29" t="s">
        <v>258</v>
      </c>
      <c r="P7" s="29" t="s">
        <v>259</v>
      </c>
      <c r="Q7" s="30" t="s">
        <v>260</v>
      </c>
      <c r="R7" s="29" t="s">
        <v>188</v>
      </c>
    </row>
    <row r="8" spans="1:18" ht="37.5" customHeight="1">
      <c r="A8" s="26" t="s">
        <v>2</v>
      </c>
      <c r="B8" s="25" t="e">
        <f t="array" aca="1" ref="B8" ca="1">_xludf.XLOOKUP(A8,Images!$A:$A,Images!$C:$C,"")</f>
        <v>#NAME?</v>
      </c>
      <c r="C8" s="29" t="s">
        <v>33</v>
      </c>
      <c r="D8" s="29" t="s">
        <v>248</v>
      </c>
      <c r="E8" s="29" t="e">
        <f t="array" aca="1" ref="E8" ca="1">_xludf.XLOOKUP("Mushroom",Images!$A:$A,Images!$C:$C,"")</f>
        <v>#NAME?</v>
      </c>
      <c r="F8" s="27" t="e">
        <f t="array" aca="1" ref="F8" ca="1">_xludf.XLOOKUP("Crystal",Images!$A:$A,Images!$C:$C,"")</f>
        <v>#NAME?</v>
      </c>
      <c r="G8" s="29" t="s">
        <v>62</v>
      </c>
      <c r="H8" s="29" t="s">
        <v>109</v>
      </c>
      <c r="I8" s="29" t="s">
        <v>261</v>
      </c>
      <c r="J8" s="29" t="s">
        <v>262</v>
      </c>
      <c r="K8" s="29" t="s">
        <v>263</v>
      </c>
      <c r="L8" s="31" t="s">
        <v>113</v>
      </c>
      <c r="M8" s="29" t="s">
        <v>264</v>
      </c>
      <c r="N8" s="29" t="s">
        <v>265</v>
      </c>
      <c r="O8" s="29" t="s">
        <v>266</v>
      </c>
      <c r="P8" s="29" t="s">
        <v>267</v>
      </c>
      <c r="Q8" s="30" t="s">
        <v>268</v>
      </c>
      <c r="R8" s="32" t="s">
        <v>267</v>
      </c>
    </row>
    <row r="9" spans="1:18" ht="37.5" customHeight="1">
      <c r="A9" s="26" t="s">
        <v>4</v>
      </c>
      <c r="B9" s="25" t="e">
        <f t="array" aca="1" ref="B9" ca="1">_xludf.XLOOKUP(A9,Images!$A:$A,Images!$C:$C,"")</f>
        <v>#NAME?</v>
      </c>
      <c r="C9" s="29" t="s">
        <v>240</v>
      </c>
      <c r="D9" s="29" t="s">
        <v>34</v>
      </c>
      <c r="E9" s="29" t="s">
        <v>254</v>
      </c>
      <c r="F9" s="29" t="s">
        <v>62</v>
      </c>
      <c r="G9" s="27" t="e">
        <f t="array" aca="1" ref="G9" ca="1">_xludf.XLOOKUP("Flame",Images!$A:$A,Images!$C:$C,"")</f>
        <v>#NAME?</v>
      </c>
      <c r="H9" s="29" t="s">
        <v>269</v>
      </c>
      <c r="I9" s="29" t="s">
        <v>270</v>
      </c>
      <c r="J9" s="29" t="e">
        <f t="array" aca="1" ref="J9" ca="1">_xludf.XLOOKUP("Beetle",Images!$A:$A,Images!$C:$C,"")</f>
        <v>#NAME?</v>
      </c>
      <c r="K9" s="29" t="s">
        <v>271</v>
      </c>
      <c r="L9" s="29" t="s">
        <v>272</v>
      </c>
      <c r="M9" s="29" t="s">
        <v>269</v>
      </c>
      <c r="N9" s="29" t="s">
        <v>273</v>
      </c>
      <c r="O9" s="29" t="s">
        <v>269</v>
      </c>
      <c r="P9" s="29" t="s">
        <v>274</v>
      </c>
      <c r="Q9" s="29" t="s">
        <v>275</v>
      </c>
      <c r="R9" s="29" t="s">
        <v>276</v>
      </c>
    </row>
    <row r="10" spans="1:18" ht="37.5" customHeight="1">
      <c r="A10" s="26" t="s">
        <v>95</v>
      </c>
      <c r="B10" s="25" t="e">
        <f t="array" aca="1" ref="B10" ca="1">_xludf.XLOOKUP(A10,Images!$A:$A,Images!$C:$C,"")</f>
        <v>#NAME?</v>
      </c>
      <c r="C10" s="29" t="s">
        <v>241</v>
      </c>
      <c r="D10" s="29" t="e">
        <f t="array" aca="1" ref="D10" ca="1">_xludf.XLOOKUP("Essence",Images!$A:$A,Images!$C:$C,"")</f>
        <v>#NAME?</v>
      </c>
      <c r="E10" s="29" t="s">
        <v>172</v>
      </c>
      <c r="F10" s="29" t="s">
        <v>109</v>
      </c>
      <c r="G10" s="29" t="s">
        <v>269</v>
      </c>
      <c r="H10" s="27" t="s">
        <v>180</v>
      </c>
      <c r="I10" s="29" t="s">
        <v>277</v>
      </c>
      <c r="J10" s="29" t="s">
        <v>278</v>
      </c>
      <c r="K10" s="29" t="s">
        <v>279</v>
      </c>
      <c r="L10" s="29" t="s">
        <v>280</v>
      </c>
      <c r="M10" s="29" t="s">
        <v>281</v>
      </c>
      <c r="N10" s="29" t="s">
        <v>69</v>
      </c>
      <c r="O10" s="29" t="s">
        <v>281</v>
      </c>
      <c r="P10" s="29" t="s">
        <v>282</v>
      </c>
      <c r="Q10" s="29" t="s">
        <v>283</v>
      </c>
      <c r="R10" s="29" t="s">
        <v>282</v>
      </c>
    </row>
    <row r="11" spans="1:18" ht="37.5" customHeight="1">
      <c r="A11" s="26" t="s">
        <v>17</v>
      </c>
      <c r="B11" s="25" t="e">
        <f t="array" aca="1" ref="B11" ca="1">_xludf.XLOOKUP(A11,Images!$A:$A,Images!$C:$C,"")</f>
        <v>#NAME?</v>
      </c>
      <c r="C11" s="29" t="s">
        <v>100</v>
      </c>
      <c r="D11" s="29" t="s">
        <v>41</v>
      </c>
      <c r="E11" s="29" t="e">
        <f t="array" aca="1" ref="E11" ca="1">_xludf.XLOOKUP("Lightning",Images!$A:$A,Images!$C:$C,"")</f>
        <v>#NAME?</v>
      </c>
      <c r="F11" s="29" t="s">
        <v>261</v>
      </c>
      <c r="G11" s="29" t="s">
        <v>270</v>
      </c>
      <c r="H11" s="29" t="s">
        <v>277</v>
      </c>
      <c r="I11" s="27" t="e">
        <f t="array" aca="1" ref="I11" ca="1">_xludf.XLOOKUP("Power",Images!$A:$A,Images!$C:$C,"")</f>
        <v>#NAME?</v>
      </c>
      <c r="J11" s="29" t="s">
        <v>109</v>
      </c>
      <c r="K11" s="29" t="e">
        <f t="array" aca="1" ref="K11" ca="1">_xludf.XLOOKUP("Spirit",Images!$A:$A,Images!$C:$C,"")</f>
        <v>#NAME?</v>
      </c>
      <c r="L11" s="29" t="s">
        <v>117</v>
      </c>
      <c r="M11" s="29" t="s">
        <v>284</v>
      </c>
      <c r="N11" s="29" t="s">
        <v>285</v>
      </c>
      <c r="O11" s="28" t="s">
        <v>271</v>
      </c>
      <c r="P11" s="29" t="s">
        <v>286</v>
      </c>
      <c r="Q11" s="29" t="s">
        <v>287</v>
      </c>
      <c r="R11" s="29" t="s">
        <v>288</v>
      </c>
    </row>
    <row r="12" spans="1:18" ht="37.5" customHeight="1">
      <c r="A12" s="26" t="s">
        <v>7</v>
      </c>
      <c r="B12" s="25" t="e">
        <f t="array" aca="1" ref="B12" ca="1">_xludf.XLOOKUP(A12,Images!$A:$A,Images!$C:$C,"")</f>
        <v>#NAME?</v>
      </c>
      <c r="C12" s="29" t="s">
        <v>242</v>
      </c>
      <c r="D12" s="29" t="s">
        <v>36</v>
      </c>
      <c r="E12" s="29" t="s">
        <v>255</v>
      </c>
      <c r="F12" s="29" t="s">
        <v>262</v>
      </c>
      <c r="G12" s="29" t="e">
        <f t="array" aca="1" ref="G12" ca="1">_xludf.XLOOKUP("Beetle",Images!$A:$A,Images!$C:$C,"")</f>
        <v>#NAME?</v>
      </c>
      <c r="H12" s="29" t="s">
        <v>278</v>
      </c>
      <c r="I12" s="29" t="s">
        <v>109</v>
      </c>
      <c r="J12" s="27" t="e">
        <f t="array" aca="1" ref="J12" ca="1">_xludf.XLOOKUP("Scale",Images!$A:$A,Images!$C:$C,"")</f>
        <v>#NAME?</v>
      </c>
      <c r="K12" s="29" t="s">
        <v>66</v>
      </c>
      <c r="L12" s="29" t="s">
        <v>289</v>
      </c>
      <c r="M12" s="29" t="s">
        <v>290</v>
      </c>
      <c r="N12" s="29" t="s">
        <v>291</v>
      </c>
      <c r="O12" s="29" t="s">
        <v>292</v>
      </c>
      <c r="P12" s="29" t="s">
        <v>288</v>
      </c>
      <c r="Q12" s="29" t="s">
        <v>293</v>
      </c>
      <c r="R12" s="29" t="s">
        <v>78</v>
      </c>
    </row>
    <row r="13" spans="1:18" ht="37.5" customHeight="1">
      <c r="A13" s="26" t="s">
        <v>11</v>
      </c>
      <c r="B13" s="25" t="e">
        <f t="array" aca="1" ref="B13" ca="1">_xludf.XLOOKUP(A13,Images!$A:$A,Images!$C:$C,"")</f>
        <v>#NAME?</v>
      </c>
      <c r="C13" s="28" t="s">
        <v>243</v>
      </c>
      <c r="D13" s="29" t="s">
        <v>249</v>
      </c>
      <c r="E13" s="29" t="s">
        <v>256</v>
      </c>
      <c r="F13" s="29" t="s">
        <v>263</v>
      </c>
      <c r="G13" s="29" t="s">
        <v>271</v>
      </c>
      <c r="H13" s="29" t="s">
        <v>279</v>
      </c>
      <c r="I13" s="29" t="e">
        <f t="array" aca="1" ref="I13" ca="1">_xludf.XLOOKUP("Spirit",Images!$A:$A,Images!$C:$C,"")</f>
        <v>#NAME?</v>
      </c>
      <c r="J13" s="29" t="s">
        <v>66</v>
      </c>
      <c r="K13" s="27" t="s">
        <v>294</v>
      </c>
      <c r="L13" s="29" t="s">
        <v>295</v>
      </c>
      <c r="M13" s="29" t="s">
        <v>296</v>
      </c>
      <c r="N13" s="29" t="s">
        <v>297</v>
      </c>
      <c r="O13" s="29" t="s">
        <v>296</v>
      </c>
      <c r="P13" s="29" t="s">
        <v>211</v>
      </c>
      <c r="Q13" s="30" t="s">
        <v>298</v>
      </c>
      <c r="R13" s="29" t="s">
        <v>299</v>
      </c>
    </row>
    <row r="14" spans="1:18" ht="37.5" customHeight="1">
      <c r="A14" s="26" t="s">
        <v>3</v>
      </c>
      <c r="B14" s="25" t="e">
        <f t="array" aca="1" ref="B14" ca="1">_xludf.XLOOKUP(A14,Images!$A:$A,Images!$C:$C,"")</f>
        <v>#NAME?</v>
      </c>
      <c r="C14" s="29" t="s">
        <v>171</v>
      </c>
      <c r="D14" s="29" t="s">
        <v>163</v>
      </c>
      <c r="E14" s="29" t="s">
        <v>257</v>
      </c>
      <c r="F14" s="31" t="s">
        <v>113</v>
      </c>
      <c r="G14" s="29" t="s">
        <v>272</v>
      </c>
      <c r="H14" s="29" t="s">
        <v>280</v>
      </c>
      <c r="I14" s="29" t="s">
        <v>117</v>
      </c>
      <c r="J14" s="29" t="s">
        <v>289</v>
      </c>
      <c r="K14" s="29" t="s">
        <v>295</v>
      </c>
      <c r="L14" s="27" t="e">
        <f t="array" aca="1" ref="L14" ca="1">_xludf.XLOOKUP("Steel",Images!$A:$A,Images!$C:$C,"")</f>
        <v>#NAME?</v>
      </c>
      <c r="M14" s="29" t="s">
        <v>300</v>
      </c>
      <c r="N14" s="29" t="s">
        <v>301</v>
      </c>
      <c r="O14" s="29" t="s">
        <v>302</v>
      </c>
      <c r="P14" s="29" t="s">
        <v>303</v>
      </c>
      <c r="Q14" s="29" t="s">
        <v>70</v>
      </c>
      <c r="R14" s="29" t="s">
        <v>304</v>
      </c>
    </row>
    <row r="15" spans="1:18" ht="37.5" customHeight="1">
      <c r="A15" s="26" t="s">
        <v>10</v>
      </c>
      <c r="B15" s="25" t="e">
        <f t="array" aca="1" ref="B15" ca="1">_xludf.XLOOKUP(A15,Images!$A:$A,Images!$C:$C,"")</f>
        <v>#NAME?</v>
      </c>
      <c r="C15" s="29" t="s">
        <v>244</v>
      </c>
      <c r="D15" s="29" t="s">
        <v>250</v>
      </c>
      <c r="E15" s="29" t="s">
        <v>166</v>
      </c>
      <c r="F15" s="29" t="s">
        <v>264</v>
      </c>
      <c r="G15" s="29" t="s">
        <v>269</v>
      </c>
      <c r="H15" s="29" t="s">
        <v>281</v>
      </c>
      <c r="I15" s="29" t="s">
        <v>305</v>
      </c>
      <c r="J15" s="29" t="s">
        <v>290</v>
      </c>
      <c r="K15" s="29" t="s">
        <v>296</v>
      </c>
      <c r="L15" s="29" t="s">
        <v>300</v>
      </c>
      <c r="M15" s="27" t="s">
        <v>306</v>
      </c>
      <c r="N15" s="29" t="s">
        <v>307</v>
      </c>
      <c r="O15" s="29" t="s">
        <v>306</v>
      </c>
      <c r="P15" s="29" t="s">
        <v>308</v>
      </c>
      <c r="Q15" s="29" t="s">
        <v>309</v>
      </c>
      <c r="R15" s="29" t="s">
        <v>89</v>
      </c>
    </row>
    <row r="16" spans="1:18" ht="37.5" customHeight="1">
      <c r="A16" s="26" t="s">
        <v>9</v>
      </c>
      <c r="B16" s="25" t="e">
        <f t="array" aca="1" ref="B16" ca="1">_xludf.XLOOKUP(A16,Images!$A:$A,Images!$C:$C,"")</f>
        <v>#NAME?</v>
      </c>
      <c r="C16" s="29" t="s">
        <v>245</v>
      </c>
      <c r="D16" s="29" t="s">
        <v>251</v>
      </c>
      <c r="E16" s="29" t="s">
        <v>256</v>
      </c>
      <c r="F16" s="29" t="s">
        <v>265</v>
      </c>
      <c r="G16" s="29" t="s">
        <v>273</v>
      </c>
      <c r="H16" s="29" t="s">
        <v>69</v>
      </c>
      <c r="I16" s="29" t="s">
        <v>285</v>
      </c>
      <c r="J16" s="29" t="s">
        <v>291</v>
      </c>
      <c r="K16" s="29" t="s">
        <v>297</v>
      </c>
      <c r="L16" s="29" t="s">
        <v>301</v>
      </c>
      <c r="M16" s="29" t="s">
        <v>307</v>
      </c>
      <c r="N16" s="27" t="s">
        <v>310</v>
      </c>
      <c r="O16" s="29" t="s">
        <v>307</v>
      </c>
      <c r="P16" s="29" t="s">
        <v>311</v>
      </c>
      <c r="Q16" s="29" t="s">
        <v>312</v>
      </c>
      <c r="R16" s="29" t="s">
        <v>313</v>
      </c>
    </row>
    <row r="17" spans="1:18" ht="37.5" customHeight="1">
      <c r="A17" s="26" t="s">
        <v>5</v>
      </c>
      <c r="B17" s="25" t="e">
        <f t="array" aca="1" ref="B17" ca="1">_xludf.XLOOKUP(A17,Images!$A:$A,Images!$C:$C,"")</f>
        <v>#NAME?</v>
      </c>
      <c r="C17" s="29" t="s">
        <v>132</v>
      </c>
      <c r="D17" s="29" t="s">
        <v>250</v>
      </c>
      <c r="E17" s="29" t="s">
        <v>258</v>
      </c>
      <c r="F17" s="29" t="s">
        <v>266</v>
      </c>
      <c r="G17" s="29" t="s">
        <v>269</v>
      </c>
      <c r="H17" s="29" t="s">
        <v>281</v>
      </c>
      <c r="I17" s="28" t="s">
        <v>271</v>
      </c>
      <c r="J17" s="29" t="s">
        <v>292</v>
      </c>
      <c r="K17" s="29" t="s">
        <v>296</v>
      </c>
      <c r="L17" s="29" t="s">
        <v>302</v>
      </c>
      <c r="M17" s="29" t="s">
        <v>306</v>
      </c>
      <c r="N17" s="29" t="s">
        <v>307</v>
      </c>
      <c r="O17" s="27" t="e">
        <f t="array" aca="1" ref="O17" ca="1">_xludf.XLOOKUP("Tooth",Images!$A:$A,Images!$C:$C,"")</f>
        <v>#NAME?</v>
      </c>
      <c r="P17" s="29" t="s">
        <v>314</v>
      </c>
      <c r="Q17" s="30" t="s">
        <v>309</v>
      </c>
      <c r="R17" s="29" t="s">
        <v>89</v>
      </c>
    </row>
    <row r="18" spans="1:18" ht="37.5" customHeight="1">
      <c r="A18" s="26" t="s">
        <v>13</v>
      </c>
      <c r="B18" s="25" t="e">
        <f t="array" aca="1" ref="B18" ca="1">_xludf.XLOOKUP(A18,Images!$A:$A,Images!$C:$C,"")</f>
        <v>#NAME?</v>
      </c>
      <c r="C18" s="29" t="s">
        <v>246</v>
      </c>
      <c r="D18" s="29" t="s">
        <v>182</v>
      </c>
      <c r="E18" s="29" t="s">
        <v>259</v>
      </c>
      <c r="F18" s="29" t="s">
        <v>267</v>
      </c>
      <c r="G18" s="29" t="s">
        <v>274</v>
      </c>
      <c r="H18" s="29" t="s">
        <v>282</v>
      </c>
      <c r="I18" s="29" t="s">
        <v>286</v>
      </c>
      <c r="J18" s="29" t="s">
        <v>288</v>
      </c>
      <c r="K18" s="29" t="s">
        <v>211</v>
      </c>
      <c r="L18" s="29" t="s">
        <v>303</v>
      </c>
      <c r="M18" s="29" t="s">
        <v>308</v>
      </c>
      <c r="N18" s="29" t="s">
        <v>311</v>
      </c>
      <c r="O18" s="29" t="s">
        <v>314</v>
      </c>
      <c r="P18" s="33" t="s">
        <v>315</v>
      </c>
      <c r="Q18" s="28" t="s">
        <v>316</v>
      </c>
      <c r="R18" s="28" t="s">
        <v>315</v>
      </c>
    </row>
    <row r="19" spans="1:18" ht="37.5" customHeight="1">
      <c r="A19" s="26" t="s">
        <v>8</v>
      </c>
      <c r="B19" s="25" t="e">
        <f t="array" aca="1" ref="B19" ca="1">_xludf.XLOOKUP(A19,Images!$A:$A,Images!$C:$C,"")</f>
        <v>#NAME?</v>
      </c>
      <c r="C19" s="29" t="s">
        <v>247</v>
      </c>
      <c r="D19" s="29" t="s">
        <v>252</v>
      </c>
      <c r="E19" s="30" t="s">
        <v>260</v>
      </c>
      <c r="F19" s="29" t="s">
        <v>268</v>
      </c>
      <c r="G19" s="29" t="s">
        <v>275</v>
      </c>
      <c r="H19" s="29" t="s">
        <v>283</v>
      </c>
      <c r="I19" s="29" t="s">
        <v>287</v>
      </c>
      <c r="J19" s="29" t="s">
        <v>293</v>
      </c>
      <c r="K19" s="30" t="s">
        <v>298</v>
      </c>
      <c r="L19" s="29" t="s">
        <v>70</v>
      </c>
      <c r="M19" s="29" t="s">
        <v>309</v>
      </c>
      <c r="N19" s="29" t="s">
        <v>312</v>
      </c>
      <c r="O19" s="30" t="s">
        <v>309</v>
      </c>
      <c r="P19" s="28" t="s">
        <v>316</v>
      </c>
      <c r="Q19" s="33" t="s">
        <v>317</v>
      </c>
      <c r="R19" s="28" t="s">
        <v>84</v>
      </c>
    </row>
    <row r="20" spans="1:18" ht="37.5" customHeight="1">
      <c r="A20" s="26" t="s">
        <v>6</v>
      </c>
      <c r="B20" s="25" t="e">
        <f t="array" aca="1" ref="B20" ca="1">_xludf.XLOOKUP(A20,Images!$A:$A,Images!$C:$C,"")</f>
        <v>#NAME?</v>
      </c>
      <c r="C20" s="29" t="s">
        <v>246</v>
      </c>
      <c r="D20" s="29" t="s">
        <v>253</v>
      </c>
      <c r="E20" s="29" t="s">
        <v>188</v>
      </c>
      <c r="F20" s="32" t="s">
        <v>267</v>
      </c>
      <c r="G20" s="29" t="s">
        <v>276</v>
      </c>
      <c r="H20" s="29" t="s">
        <v>282</v>
      </c>
      <c r="I20" s="29" t="s">
        <v>288</v>
      </c>
      <c r="J20" s="29" t="s">
        <v>78</v>
      </c>
      <c r="K20" s="29" t="s">
        <v>299</v>
      </c>
      <c r="L20" s="29" t="s">
        <v>304</v>
      </c>
      <c r="M20" s="29" t="s">
        <v>89</v>
      </c>
      <c r="N20" s="29" t="s">
        <v>313</v>
      </c>
      <c r="O20" s="29" t="s">
        <v>89</v>
      </c>
      <c r="P20" s="28" t="s">
        <v>315</v>
      </c>
      <c r="Q20" s="28" t="s">
        <v>84</v>
      </c>
      <c r="R20" s="33" t="s">
        <v>315</v>
      </c>
    </row>
  </sheetData>
  <mergeCells count="1">
    <mergeCell ref="A3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Steel</v>
      </c>
      <c r="D3" s="7" t="str">
        <v>Sand</v>
      </c>
      <c r="E3" s="7" t="str">
        <v>Water</v>
      </c>
      <c r="F3" s="8" t="str">
        <v>Flame</v>
      </c>
      <c r="G3" s="8" t="str">
        <v>Lightning</v>
      </c>
      <c r="H3" s="7" t="str">
        <v>Leaf</v>
      </c>
      <c r="I3" s="7" t="str">
        <v>Scale</v>
      </c>
      <c r="J3" s="7" t="str">
        <v>Egg</v>
      </c>
      <c r="K3" s="7" t="str">
        <v>Crystal</v>
      </c>
      <c r="L3" s="7" t="str">
        <v>Poison</v>
      </c>
      <c r="M3" s="7" t="str">
        <v>Power</v>
      </c>
      <c r="N3" s="8" t="str">
        <v>Tooth</v>
      </c>
      <c r="O3" s="7" t="str">
        <v>Feather</v>
      </c>
      <c r="P3" s="7" t="str">
        <v>Shadow</v>
      </c>
      <c r="Q3" s="7" t="str">
        <v>Essence</v>
      </c>
      <c r="R3" s="7" t="str">
        <v>Spirit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8</v>
      </c>
      <c r="B5" s="10" t="e">
        <f t="array" aca="1" ref="B5" ca="1">_xludf.XLOOKUP(A5,Images!$A:$A,Images!$C:$C,"")</f>
        <v>#NAME?</v>
      </c>
      <c r="C5" s="11" t="s">
        <v>23</v>
      </c>
      <c r="D5" s="14" t="e">
        <f t="shared" ref="D5:R5" ca="1" si="0">INDEX($C$5:$R$20, COLUMN()-2, ROW()-4)</f>
        <v>#NAME?</v>
      </c>
      <c r="E5" s="12" t="e">
        <f t="shared" ca="1" si="0"/>
        <v>#NAME?</v>
      </c>
      <c r="F5" s="12" t="str">
        <f t="shared" si="0"/>
        <v>18 Common Equipment</v>
      </c>
      <c r="G5" s="12" t="str">
        <f t="shared" si="0"/>
        <v>Event Equipment (Safety Tongs)</v>
      </c>
      <c r="H5" s="12" t="str">
        <f t="shared" si="0"/>
        <v>18 Currency</v>
      </c>
      <c r="I5" s="12" t="str">
        <f t="shared" si="0"/>
        <v>160 Dust</v>
      </c>
      <c r="J5" s="12" t="str">
        <f t="shared" si="0"/>
        <v>5 Pet Eggs</v>
      </c>
      <c r="K5" s="12" t="str">
        <f t="shared" si="0"/>
        <v>32 Common Equipment</v>
      </c>
      <c r="L5" s="12" t="str">
        <f t="shared" si="0"/>
        <v>60 Currency</v>
      </c>
      <c r="M5" s="12" t="str">
        <f t="shared" si="0"/>
        <v>60 Currency</v>
      </c>
      <c r="N5" s="12" t="str">
        <f t="shared" si="0"/>
        <v>2 Skill Points</v>
      </c>
      <c r="O5" s="12" t="str">
        <f t="shared" si="0"/>
        <v>7 Hero Weapons</v>
      </c>
      <c r="P5" s="12" t="str">
        <f t="shared" si="0"/>
        <v>116 Currency</v>
      </c>
      <c r="Q5" s="12" t="str">
        <f t="shared" si="0"/>
        <v>1 Clan Scroll</v>
      </c>
      <c r="R5" s="12" t="str">
        <f t="shared" si="0"/>
        <v>232 Currency</v>
      </c>
    </row>
    <row r="6" spans="1:18" ht="37.5" customHeight="1">
      <c r="A6" s="8" t="s">
        <v>1</v>
      </c>
      <c r="B6" s="10" t="e">
        <f t="array" aca="1" ref="B6" ca="1">_xludf.XLOOKUP(A6,Images!$A:$A,Images!$C:$C,"")</f>
        <v>#NAME?</v>
      </c>
      <c r="C6" s="13" t="e">
        <f t="array" aca="1" ref="C6" ca="1">_xludf.XLOOKUP("Flame",Images!$A:$A,Images!$C:$C,"")</f>
        <v>#NAME?</v>
      </c>
      <c r="D6" s="11" t="s">
        <v>23</v>
      </c>
      <c r="E6" s="13" t="e">
        <f t="shared" ref="E6:R6" ca="1" si="1">INDEX($C$5:$R$20, COLUMN()-2, ROW()-4)</f>
        <v>#NAME?</v>
      </c>
      <c r="F6" s="12" t="str">
        <f t="shared" si="1"/>
        <v>1 Perk</v>
      </c>
      <c r="G6" s="12" t="str">
        <f t="shared" si="1"/>
        <v>Event Equipment (Hair of Madness)</v>
      </c>
      <c r="H6" s="12" t="str">
        <f t="shared" si="1"/>
        <v>6 Raid Cards</v>
      </c>
      <c r="I6" s="12" t="str">
        <f t="shared" si="1"/>
        <v>32 Currency</v>
      </c>
      <c r="J6" s="12" t="str">
        <f t="shared" si="1"/>
        <v>2 Perks</v>
      </c>
      <c r="K6" s="12" t="str">
        <f t="shared" si="1"/>
        <v>4 Crafting Shards</v>
      </c>
      <c r="L6" s="12" t="str">
        <f t="shared" si="1"/>
        <v>300 Dust</v>
      </c>
      <c r="M6" s="12" t="str">
        <f t="shared" si="1"/>
        <v>3 Perks</v>
      </c>
      <c r="N6" s="12" t="str">
        <f t="shared" si="1"/>
        <v>60 Currency</v>
      </c>
      <c r="O6" s="12" t="str">
        <f t="shared" si="1"/>
        <v>116 Currency</v>
      </c>
      <c r="P6" s="12" t="str">
        <f t="shared" si="1"/>
        <v>116 Currency</v>
      </c>
      <c r="Q6" s="12" t="str">
        <f t="shared" si="1"/>
        <v>1 Clan Scroll</v>
      </c>
      <c r="R6" s="12" t="str">
        <f t="shared" si="1"/>
        <v>232 Currency</v>
      </c>
    </row>
    <row r="7" spans="1:18" ht="37.5" customHeight="1">
      <c r="A7" s="8" t="s">
        <v>2</v>
      </c>
      <c r="B7" s="10" t="e">
        <f t="array" aca="1" ref="B7" ca="1">_xludf.XLOOKUP(A7,Images!$A:$A,Images!$C:$C,"")</f>
        <v>#NAME?</v>
      </c>
      <c r="C7" s="12" t="e">
        <f t="array" aca="1" ref="C7" ca="1">_xludf.XLOOKUP("Lightning",Images!$A:$A,Images!$C:$C,"")</f>
        <v>#NAME?</v>
      </c>
      <c r="D7" s="13" t="e">
        <f t="array" aca="1" ref="D7" ca="1">_xludf.XLOOKUP("Leaf",Images!$A:$A,Images!$C:$C,"")</f>
        <v>#NAME?</v>
      </c>
      <c r="E7" s="11" t="s">
        <v>23</v>
      </c>
      <c r="F7" s="12" t="str">
        <f t="shared" ref="F7:R7" si="2">INDEX($C$5:$R$20, COLUMN()-2, ROW()-4)</f>
        <v>1 Rare Equipment</v>
      </c>
      <c r="G7" s="12" t="str">
        <f t="shared" si="2"/>
        <v>Event Equipment (Lab Coat)</v>
      </c>
      <c r="H7" s="12" t="str">
        <f t="shared" si="2"/>
        <v>6 Raid Cards</v>
      </c>
      <c r="I7" s="12" t="str">
        <f t="shared" si="2"/>
        <v>160 Dust</v>
      </c>
      <c r="J7" s="12" t="str">
        <f t="shared" si="2"/>
        <v>5 Pet Eggs</v>
      </c>
      <c r="K7" s="12" t="str">
        <f t="shared" si="2"/>
        <v>4 Crafting Shards</v>
      </c>
      <c r="L7" s="12" t="str">
        <f t="shared" si="2"/>
        <v>60 Currency</v>
      </c>
      <c r="M7" s="12" t="str">
        <f t="shared" si="2"/>
        <v>60 Currency</v>
      </c>
      <c r="N7" s="12" t="str">
        <f t="shared" si="2"/>
        <v>2 Skill Points</v>
      </c>
      <c r="O7" s="12" t="str">
        <f t="shared" si="2"/>
        <v>116 Currency</v>
      </c>
      <c r="P7" s="12" t="str">
        <f t="shared" si="2"/>
        <v>116 Currency</v>
      </c>
      <c r="Q7" s="12" t="str">
        <f t="shared" si="2"/>
        <v>116 Currency</v>
      </c>
      <c r="R7" s="12" t="str">
        <f t="shared" si="2"/>
        <v>232 Currency</v>
      </c>
    </row>
    <row r="8" spans="1:18" ht="37.5" customHeight="1">
      <c r="A8" s="8" t="s">
        <v>7</v>
      </c>
      <c r="B8" s="10" t="e">
        <f t="array" aca="1" ref="B8" ca="1">_xludf.XLOOKUP(A8,Images!$A:$A,Images!$C:$C,"")</f>
        <v>#NAME?</v>
      </c>
      <c r="C8" s="12" t="s">
        <v>127</v>
      </c>
      <c r="D8" s="12" t="s">
        <v>27</v>
      </c>
      <c r="E8" s="12" t="s">
        <v>28</v>
      </c>
      <c r="F8" s="11" t="s">
        <v>26</v>
      </c>
      <c r="G8" s="12" t="e">
        <f t="shared" ref="G8:R8" ca="1" si="3">INDEX($C$5:$R$20, COLUMN()-2, ROW()-4)</f>
        <v>#NAME?</v>
      </c>
      <c r="H8" s="12" t="e">
        <f t="shared" ca="1" si="3"/>
        <v>#NAME?</v>
      </c>
      <c r="I8" s="12" t="str">
        <f t="shared" si="3"/>
        <v>193 Dust</v>
      </c>
      <c r="J8" s="12" t="str">
        <f t="shared" si="3"/>
        <v>38 Currency</v>
      </c>
      <c r="K8" s="12" t="str">
        <f t="shared" si="3"/>
        <v>5 Crafting Shards</v>
      </c>
      <c r="L8" s="12" t="str">
        <f t="shared" si="3"/>
        <v>6 Rare Equipment</v>
      </c>
      <c r="M8" s="12" t="str">
        <f t="shared" si="3"/>
        <v>66 Currency</v>
      </c>
      <c r="N8" s="12" t="str">
        <f t="shared" si="3"/>
        <v>66 Currency</v>
      </c>
      <c r="O8" s="12" t="str">
        <f t="shared" si="3"/>
        <v>122 Currency</v>
      </c>
      <c r="P8" s="12" t="str">
        <f t="shared" si="3"/>
        <v>30 Wild Cards</v>
      </c>
      <c r="Q8" s="12" t="str">
        <f t="shared" si="3"/>
        <v>1 Clan Scroll</v>
      </c>
      <c r="R8" s="12" t="str">
        <f t="shared" si="3"/>
        <v>23 Rare Equipment</v>
      </c>
    </row>
    <row r="9" spans="1:18" ht="37.5" customHeight="1">
      <c r="A9" s="8" t="s">
        <v>3</v>
      </c>
      <c r="B9" s="10" t="e">
        <f t="array" aca="1" ref="B9" ca="1">_xludf.XLOOKUP(A9,Images!$A:$A,Images!$C:$C,"")</f>
        <v>#NAME?</v>
      </c>
      <c r="C9" s="12" t="s">
        <v>22</v>
      </c>
      <c r="D9" s="12" t="s">
        <v>31</v>
      </c>
      <c r="E9" s="12" t="s">
        <v>34</v>
      </c>
      <c r="F9" s="12" t="e">
        <f t="array" aca="1" ref="F9" ca="1">_xludf.XLOOKUP("Crystal",Images!$A:$A,Images!$C:$C,"")</f>
        <v>#NAME?</v>
      </c>
      <c r="G9" s="11" t="s">
        <v>36</v>
      </c>
      <c r="H9" s="12" t="e">
        <f t="shared" ref="H9:R9" ca="1" si="4">INDEX($C$5:$R$20, COLUMN()-2, ROW()-4)</f>
        <v>#NAME?</v>
      </c>
      <c r="I9" s="12" t="str">
        <f t="shared" si="4"/>
        <v>Event Equipment (Master of Elements)</v>
      </c>
      <c r="J9" s="12" t="str">
        <f t="shared" si="4"/>
        <v>38 Currency</v>
      </c>
      <c r="K9" s="12" t="str">
        <f t="shared" si="4"/>
        <v>38 Currency</v>
      </c>
      <c r="L9" s="12" t="str">
        <f t="shared" si="4"/>
        <v>333 Dust</v>
      </c>
      <c r="M9" s="12" t="str">
        <f t="shared" si="4"/>
        <v>66 Currency</v>
      </c>
      <c r="N9" s="12" t="str">
        <f t="shared" si="4"/>
        <v>2 Skill Points</v>
      </c>
      <c r="O9" s="12" t="str">
        <f t="shared" si="4"/>
        <v>8 Hero Weapons</v>
      </c>
      <c r="P9" s="12" t="str">
        <f t="shared" si="4"/>
        <v>122 Currency</v>
      </c>
      <c r="Q9" s="12" t="str">
        <f t="shared" si="4"/>
        <v>123 Currency</v>
      </c>
      <c r="R9" s="12" t="str">
        <f t="shared" si="4"/>
        <v>238 Currency</v>
      </c>
    </row>
    <row r="10" spans="1:18" ht="37.5" customHeight="1">
      <c r="A10" s="8" t="s">
        <v>0</v>
      </c>
      <c r="B10" s="10" t="e">
        <f t="array" aca="1" ref="B10" ca="1">_xludf.XLOOKUP(A10,Images!$A:$A,Images!$C:$C,"")</f>
        <v>#NAME?</v>
      </c>
      <c r="C10" s="12" t="s">
        <v>24</v>
      </c>
      <c r="D10" s="12" t="s">
        <v>25</v>
      </c>
      <c r="E10" s="12" t="s">
        <v>25</v>
      </c>
      <c r="F10" s="13" t="e">
        <f t="array" aca="1" ref="F10" ca="1">_xludf.XLOOKUP("Scale",Images!$A:$A,Images!$C:$C,"")</f>
        <v>#NAME?</v>
      </c>
      <c r="G10" s="12" t="e">
        <f t="array" aca="1" ref="G10" ca="1">_xludf.XLOOKUP("Egg",Images!$A:$A,Images!$C:$C,"")</f>
        <v>#NAME?</v>
      </c>
      <c r="H10" s="11" t="s">
        <v>29</v>
      </c>
      <c r="I10" s="12" t="str">
        <f t="shared" ref="I10:R10" si="5">INDEX($C$5:$R$20, COLUMN()-2, ROW()-4)</f>
        <v>38 Currency</v>
      </c>
      <c r="J10" s="12" t="str">
        <f t="shared" si="5"/>
        <v>6 Pet Eggs</v>
      </c>
      <c r="K10" s="12" t="str">
        <f t="shared" si="5"/>
        <v>12 Raid Cards</v>
      </c>
      <c r="L10" s="12" t="str">
        <f t="shared" si="5"/>
        <v>22 Raid Cards</v>
      </c>
      <c r="M10" s="12" t="str">
        <f t="shared" si="5"/>
        <v>66 Currency</v>
      </c>
      <c r="N10" s="12" t="str">
        <f t="shared" si="5"/>
        <v>66 Currency</v>
      </c>
      <c r="O10" s="12" t="str">
        <f t="shared" si="5"/>
        <v>40 Raid Cards</v>
      </c>
      <c r="P10" s="12" t="str">
        <f t="shared" si="5"/>
        <v>122 Currency</v>
      </c>
      <c r="Q10" s="12" t="str">
        <f t="shared" si="5"/>
        <v>40 Raid Cards</v>
      </c>
      <c r="R10" s="12" t="str">
        <f t="shared" si="5"/>
        <v>79 Raid Cards</v>
      </c>
    </row>
    <row r="11" spans="1:18" ht="37.5" customHeight="1">
      <c r="A11" s="8" t="s">
        <v>9</v>
      </c>
      <c r="B11" s="10" t="e">
        <f t="array" aca="1" ref="B11" ca="1">_xludf.XLOOKUP(A11,Images!$A:$A,Images!$C:$C,"")</f>
        <v>#NAME?</v>
      </c>
      <c r="C11" s="12" t="s">
        <v>318</v>
      </c>
      <c r="D11" s="12" t="s">
        <v>38</v>
      </c>
      <c r="E11" s="12" t="s">
        <v>318</v>
      </c>
      <c r="F11" s="12" t="s">
        <v>319</v>
      </c>
      <c r="G11" s="12" t="s">
        <v>41</v>
      </c>
      <c r="H11" s="12" t="s">
        <v>44</v>
      </c>
      <c r="I11" s="11" t="s">
        <v>37</v>
      </c>
      <c r="J11" s="12" t="e">
        <f t="shared" ref="J11:R11" ca="1" si="6">INDEX($C$5:$R$20, COLUMN()-2, ROW()-4)</f>
        <v>#NAME?</v>
      </c>
      <c r="K11" s="12" t="e">
        <f t="shared" ca="1" si="6"/>
        <v>#NAME?</v>
      </c>
      <c r="L11" s="12" t="str">
        <f t="shared" si="6"/>
        <v>80 Currency</v>
      </c>
      <c r="M11" s="12" t="str">
        <f t="shared" si="6"/>
        <v>Legendary Equipment (Utility Belt)</v>
      </c>
      <c r="N11" s="12" t="str">
        <f t="shared" si="6"/>
        <v>400 Dust</v>
      </c>
      <c r="O11" s="12" t="str">
        <f t="shared" si="6"/>
        <v>680 Dust</v>
      </c>
      <c r="P11" s="12" t="str">
        <f t="shared" si="6"/>
        <v>136 Currency</v>
      </c>
      <c r="Q11" s="12" t="str">
        <f t="shared" si="6"/>
        <v>680 Dust</v>
      </c>
      <c r="R11" s="12" t="str">
        <f t="shared" si="6"/>
        <v>1260 Dust</v>
      </c>
    </row>
    <row r="12" spans="1:18" ht="37.5" customHeight="1">
      <c r="A12" s="8" t="s">
        <v>96</v>
      </c>
      <c r="B12" s="10" t="e">
        <f t="array" aca="1" ref="B12" ca="1">_xludf.XLOOKUP(A12,Images!$A:$A,Images!$C:$C,"")</f>
        <v>#NAME?</v>
      </c>
      <c r="C12" s="12" t="s">
        <v>320</v>
      </c>
      <c r="D12" s="12" t="s">
        <v>33</v>
      </c>
      <c r="E12" s="12" t="s">
        <v>320</v>
      </c>
      <c r="F12" s="12" t="s">
        <v>44</v>
      </c>
      <c r="G12" s="12" t="s">
        <v>44</v>
      </c>
      <c r="H12" s="12" t="s">
        <v>129</v>
      </c>
      <c r="I12" s="12" t="e">
        <f t="array" aca="1" ref="I12" ca="1">_xludf.XLOOKUP("Power",Images!$A:$A,Images!$C:$C,"")</f>
        <v>#NAME?</v>
      </c>
      <c r="J12" s="11" t="s">
        <v>37</v>
      </c>
      <c r="K12" s="12" t="e">
        <f t="shared" ref="K12:R12" ca="1" si="7">INDEX($C$5:$R$20, COLUMN()-2, ROW()-4)</f>
        <v>#NAME?</v>
      </c>
      <c r="L12" s="12" t="str">
        <f t="shared" si="7"/>
        <v>13 Pet Eggs</v>
      </c>
      <c r="M12" s="12" t="str">
        <f t="shared" si="7"/>
        <v>Legendary Equipment (Bazooka)</v>
      </c>
      <c r="N12" s="12" t="str">
        <f t="shared" si="7"/>
        <v>80 Currency</v>
      </c>
      <c r="O12" s="12" t="str">
        <f t="shared" si="7"/>
        <v>6 Fortune Weapons</v>
      </c>
      <c r="P12" s="12" t="str">
        <f t="shared" si="7"/>
        <v>34 Wildcards</v>
      </c>
      <c r="Q12" s="12" t="str">
        <f t="shared" si="7"/>
        <v>1 Fortune Scroll</v>
      </c>
      <c r="R12" s="12" t="str">
        <f t="shared" si="7"/>
        <v>42 Pet Eggs</v>
      </c>
    </row>
    <row r="13" spans="1:18" ht="37.5" customHeight="1">
      <c r="A13" s="8" t="s">
        <v>95</v>
      </c>
      <c r="B13" s="10" t="e">
        <f t="array" aca="1" ref="B13" ca="1">_xludf.XLOOKUP(A13,Images!$A:$A,Images!$C:$C,"")</f>
        <v>#NAME?</v>
      </c>
      <c r="C13" s="14" t="s">
        <v>130</v>
      </c>
      <c r="D13" s="12" t="s">
        <v>39</v>
      </c>
      <c r="E13" s="12" t="s">
        <v>39</v>
      </c>
      <c r="F13" s="12" t="s">
        <v>131</v>
      </c>
      <c r="G13" s="12" t="s">
        <v>44</v>
      </c>
      <c r="H13" s="12" t="s">
        <v>40</v>
      </c>
      <c r="I13" s="12" t="e">
        <f t="array" aca="1" ref="I13" ca="1">_xludf.XLOOKUP("Tooth",Images!$A:$A,Images!$C:$C,"")</f>
        <v>#NAME?</v>
      </c>
      <c r="J13" s="12" t="e">
        <f t="array" aca="1" ref="J13" ca="1">_xludf.XLOOKUP("Poison",Images!$A:$A,Images!$C:$C,"")</f>
        <v>#NAME?</v>
      </c>
      <c r="K13" s="11" t="s">
        <v>37</v>
      </c>
      <c r="L13" s="12" t="str">
        <f t="shared" ref="L13:R13" si="8">INDEX($C$5:$R$20, COLUMN()-2, ROW()-4)</f>
        <v>400 Dust</v>
      </c>
      <c r="M13" s="12" t="str">
        <f t="shared" si="8"/>
        <v>Legendary Equipment (Crazed Bombardment)</v>
      </c>
      <c r="N13" s="12" t="str">
        <f t="shared" si="8"/>
        <v>3 Skill Points</v>
      </c>
      <c r="O13" s="12" t="str">
        <f t="shared" si="8"/>
        <v>19 Crafting Shards</v>
      </c>
      <c r="P13" s="12" t="str">
        <f t="shared" si="8"/>
        <v>136 Currency</v>
      </c>
      <c r="Q13" s="12" t="str">
        <f t="shared" si="8"/>
        <v>19 Crafting Shards</v>
      </c>
      <c r="R13" s="12" t="str">
        <f t="shared" si="8"/>
        <v>36 Crafting Shards</v>
      </c>
    </row>
    <row r="14" spans="1:18" ht="37.5" customHeight="1">
      <c r="A14" s="8" t="s">
        <v>4</v>
      </c>
      <c r="B14" s="10" t="e">
        <f t="array" aca="1" ref="B14" ca="1">_xludf.XLOOKUP(A14,Images!$A:$A,Images!$C:$C,"")</f>
        <v>#NAME?</v>
      </c>
      <c r="C14" s="12" t="s">
        <v>48</v>
      </c>
      <c r="D14" s="15" t="s">
        <v>321</v>
      </c>
      <c r="E14" s="12" t="s">
        <v>48</v>
      </c>
      <c r="F14" s="14" t="s">
        <v>132</v>
      </c>
      <c r="G14" s="12" t="s">
        <v>322</v>
      </c>
      <c r="H14" s="12" t="s">
        <v>58</v>
      </c>
      <c r="I14" s="12" t="s">
        <v>51</v>
      </c>
      <c r="J14" s="12" t="s">
        <v>133</v>
      </c>
      <c r="K14" s="12" t="s">
        <v>323</v>
      </c>
      <c r="L14" s="11" t="s">
        <v>54</v>
      </c>
      <c r="M14" s="12" t="e">
        <f t="shared" ref="M14:R14" ca="1" si="9">INDEX($C$5:$R$20, COLUMN()-2, ROW()-4)</f>
        <v>#NAME?</v>
      </c>
      <c r="N14" s="12" t="e">
        <f t="shared" ca="1" si="9"/>
        <v>#NAME?</v>
      </c>
      <c r="O14" s="12" t="str">
        <f t="shared" si="9"/>
        <v>820 Dust</v>
      </c>
      <c r="P14" s="12" t="str">
        <f t="shared" si="9"/>
        <v>Event Avatar</v>
      </c>
      <c r="Q14" s="12" t="str">
        <f t="shared" si="9"/>
        <v>2 Fortune Scrolls</v>
      </c>
      <c r="R14" s="12" t="str">
        <f t="shared" si="9"/>
        <v>1400 Dust</v>
      </c>
    </row>
    <row r="15" spans="1:18" ht="37.5" customHeight="1">
      <c r="A15" s="8" t="s">
        <v>11</v>
      </c>
      <c r="B15" s="10" t="e">
        <f t="array" aca="1" ref="B15" ca="1">_xludf.XLOOKUP(A15,Images!$A:$A,Images!$C:$C,"")</f>
        <v>#NAME?</v>
      </c>
      <c r="C15" s="12" t="s">
        <v>48</v>
      </c>
      <c r="D15" s="12" t="s">
        <v>62</v>
      </c>
      <c r="E15" s="12" t="s">
        <v>48</v>
      </c>
      <c r="F15" s="12" t="s">
        <v>50</v>
      </c>
      <c r="G15" s="12" t="s">
        <v>50</v>
      </c>
      <c r="H15" s="12" t="s">
        <v>50</v>
      </c>
      <c r="I15" s="12" t="s">
        <v>102</v>
      </c>
      <c r="J15" s="12" t="s">
        <v>324</v>
      </c>
      <c r="K15" s="12" t="s">
        <v>325</v>
      </c>
      <c r="L15" s="12" t="e">
        <f t="array" aca="1" ref="L15" ca="1">_xludf.XLOOKUP("Essence",Images!$A:$A,Images!$C:$C,"")</f>
        <v>#NAME?</v>
      </c>
      <c r="M15" s="11" t="s">
        <v>326</v>
      </c>
      <c r="N15" s="12" t="e">
        <f t="shared" ref="N15:R15" ca="1" si="10">INDEX($C$5:$R$20, COLUMN()-2, ROW()-4)</f>
        <v>#NAME?</v>
      </c>
      <c r="O15" s="12" t="str">
        <f t="shared" si="10"/>
        <v>164 Currency</v>
      </c>
      <c r="P15" s="12" t="str">
        <f t="shared" si="10"/>
        <v>41 Wildcards</v>
      </c>
      <c r="Q15" s="12" t="str">
        <f t="shared" si="10"/>
        <v>164 Currency</v>
      </c>
      <c r="R15" s="12" t="str">
        <f t="shared" si="10"/>
        <v>280 Currency</v>
      </c>
    </row>
    <row r="16" spans="1:18" ht="37.5" customHeight="1">
      <c r="A16" s="8" t="s">
        <v>6</v>
      </c>
      <c r="B16" s="10" t="e">
        <f t="array" aca="1" ref="B16" ca="1">_xludf.XLOOKUP(A16,Images!$A:$A,Images!$C:$C,"")</f>
        <v>#NAME?</v>
      </c>
      <c r="C16" s="12" t="s">
        <v>55</v>
      </c>
      <c r="D16" s="12" t="s">
        <v>48</v>
      </c>
      <c r="E16" s="12" t="s">
        <v>55</v>
      </c>
      <c r="F16" s="12" t="s">
        <v>50</v>
      </c>
      <c r="G16" s="12" t="s">
        <v>55</v>
      </c>
      <c r="H16" s="12" t="s">
        <v>50</v>
      </c>
      <c r="I16" s="12" t="s">
        <v>323</v>
      </c>
      <c r="J16" s="12" t="s">
        <v>51</v>
      </c>
      <c r="K16" s="12" t="s">
        <v>53</v>
      </c>
      <c r="L16" s="12" t="e">
        <f t="array" aca="1" ref="L16" ca="1">_xludf.XLOOKUP("Shadow",Images!$A:$A,Images!$C:$C,"")</f>
        <v>#NAME?</v>
      </c>
      <c r="M16" s="12" t="e">
        <f t="array" aca="1" ref="M16" ca="1">_xludf.XLOOKUP("Feather",Images!$A:$A,Images!$C:$C,"")</f>
        <v>#NAME?</v>
      </c>
      <c r="N16" s="11" t="s">
        <v>65</v>
      </c>
      <c r="O16" s="12" t="str">
        <f t="shared" ref="O16:R16" si="11">INDEX($C$5:$R$20, COLUMN()-2, ROW()-4)</f>
        <v>8 Fortune Weapons</v>
      </c>
      <c r="P16" s="12" t="str">
        <f t="shared" si="11"/>
        <v>6 Skill Points</v>
      </c>
      <c r="Q16" s="12" t="str">
        <f t="shared" si="11"/>
        <v>2 Fortune Scrolls</v>
      </c>
      <c r="R16" s="12" t="str">
        <f t="shared" si="11"/>
        <v>11 Skill Points</v>
      </c>
    </row>
    <row r="17" spans="1:18" ht="37.5" customHeight="1">
      <c r="A17" s="8" t="s">
        <v>20</v>
      </c>
      <c r="B17" s="10" t="e">
        <f t="array" aca="1" ref="B17" ca="1">_xludf.XLOOKUP(A17,Images!$A:$A,Images!$C:$C,"")</f>
        <v>#NAME?</v>
      </c>
      <c r="C17" s="12" t="s">
        <v>138</v>
      </c>
      <c r="D17" s="12" t="s">
        <v>66</v>
      </c>
      <c r="E17" s="12" t="s">
        <v>66</v>
      </c>
      <c r="F17" s="12" t="s">
        <v>67</v>
      </c>
      <c r="G17" s="12" t="s">
        <v>81</v>
      </c>
      <c r="H17" s="12" t="s">
        <v>74</v>
      </c>
      <c r="I17" s="14" t="s">
        <v>327</v>
      </c>
      <c r="J17" s="12" t="s">
        <v>119</v>
      </c>
      <c r="K17" s="12" t="s">
        <v>69</v>
      </c>
      <c r="L17" s="12" t="s">
        <v>328</v>
      </c>
      <c r="M17" s="12" t="s">
        <v>71</v>
      </c>
      <c r="N17" s="12" t="s">
        <v>70</v>
      </c>
      <c r="O17" s="11" t="s">
        <v>72</v>
      </c>
      <c r="P17" s="12" t="str">
        <f t="shared" ref="P17:R17" si="12">INDEX($C$5:$R$20, COLUMN()-2, ROW()-4)</f>
        <v>55 Wildcards</v>
      </c>
      <c r="Q17" s="12" t="str">
        <f t="shared" si="12"/>
        <v>11 Fortune Weapons</v>
      </c>
      <c r="R17" s="12" t="str">
        <f t="shared" si="12"/>
        <v>16 Fortune Weapons</v>
      </c>
    </row>
    <row r="18" spans="1:18" ht="37.5" customHeight="1">
      <c r="A18" s="8" t="s">
        <v>12</v>
      </c>
      <c r="B18" s="10" t="e">
        <f t="array" aca="1" ref="B18" ca="1">_xludf.XLOOKUP(A18,Images!$A:$A,Images!$C:$C,"")</f>
        <v>#NAME?</v>
      </c>
      <c r="C18" s="12" t="s">
        <v>66</v>
      </c>
      <c r="D18" s="12" t="s">
        <v>66</v>
      </c>
      <c r="E18" s="12" t="s">
        <v>66</v>
      </c>
      <c r="F18" s="12" t="s">
        <v>329</v>
      </c>
      <c r="G18" s="12" t="s">
        <v>67</v>
      </c>
      <c r="H18" s="12" t="s">
        <v>67</v>
      </c>
      <c r="I18" s="14" t="s">
        <v>68</v>
      </c>
      <c r="J18" s="12" t="s">
        <v>140</v>
      </c>
      <c r="K18" s="12" t="s">
        <v>68</v>
      </c>
      <c r="L18" s="12" t="s">
        <v>330</v>
      </c>
      <c r="M18" s="12" t="s">
        <v>82</v>
      </c>
      <c r="N18" s="12" t="s">
        <v>83</v>
      </c>
      <c r="O18" s="12" t="s">
        <v>141</v>
      </c>
      <c r="P18" s="11" t="s">
        <v>72</v>
      </c>
      <c r="Q18" s="12" t="e">
        <f t="shared" ref="Q18:R18" ca="1" si="13">INDEX($C$5:$R$20, COLUMN()-2, ROW()-4)</f>
        <v>#NAME?</v>
      </c>
      <c r="R18" s="12" t="str">
        <f t="shared" si="13"/>
        <v>84 Wild Cards</v>
      </c>
    </row>
    <row r="19" spans="1:18" ht="37.5" customHeight="1">
      <c r="A19" s="8" t="s">
        <v>10</v>
      </c>
      <c r="B19" s="10" t="e">
        <f t="array" aca="1" ref="B19" ca="1">_xludf.XLOOKUP(A19,Images!$A:$A,Images!$C:$C,"")</f>
        <v>#NAME?</v>
      </c>
      <c r="C19" s="12" t="s">
        <v>73</v>
      </c>
      <c r="D19" s="12" t="s">
        <v>73</v>
      </c>
      <c r="E19" s="12" t="s">
        <v>66</v>
      </c>
      <c r="F19" s="12" t="s">
        <v>73</v>
      </c>
      <c r="G19" s="12" t="s">
        <v>331</v>
      </c>
      <c r="H19" s="12" t="s">
        <v>74</v>
      </c>
      <c r="I19" s="12" t="s">
        <v>327</v>
      </c>
      <c r="J19" s="12" t="s">
        <v>105</v>
      </c>
      <c r="K19" s="12" t="s">
        <v>69</v>
      </c>
      <c r="L19" s="12" t="s">
        <v>78</v>
      </c>
      <c r="M19" s="12" t="s">
        <v>71</v>
      </c>
      <c r="N19" s="12" t="s">
        <v>78</v>
      </c>
      <c r="O19" s="12" t="s">
        <v>79</v>
      </c>
      <c r="P19" s="12" t="e">
        <f t="array" aca="1" ref="P19" ca="1">_xludf.XLOOKUP("Spirit",Images!$A:$A,Images!$C:$C,"")</f>
        <v>#NAME?</v>
      </c>
      <c r="Q19" s="11" t="s">
        <v>72</v>
      </c>
      <c r="R19" s="12" t="str">
        <f t="array" ref="R19">INDEX($C$5:$R$20, COLUMN()-2, ROW()-4)</f>
        <v>4 Fortune Scrolls</v>
      </c>
    </row>
    <row r="20" spans="1:18" ht="37.5" customHeight="1">
      <c r="A20" s="8" t="s">
        <v>13</v>
      </c>
      <c r="B20" s="10" t="e">
        <f t="array" aca="1" ref="B20" ca="1">_xludf.XLOOKUP(A20,Images!$A:$A,Images!$C:$C,"")</f>
        <v>#NAME?</v>
      </c>
      <c r="C20" s="12" t="s">
        <v>84</v>
      </c>
      <c r="D20" s="12" t="s">
        <v>84</v>
      </c>
      <c r="E20" s="12" t="s">
        <v>84</v>
      </c>
      <c r="F20" s="14" t="s">
        <v>142</v>
      </c>
      <c r="G20" s="12" t="s">
        <v>86</v>
      </c>
      <c r="H20" s="12" t="s">
        <v>87</v>
      </c>
      <c r="I20" s="12" t="s">
        <v>332</v>
      </c>
      <c r="J20" s="12" t="s">
        <v>333</v>
      </c>
      <c r="K20" s="12" t="s">
        <v>145</v>
      </c>
      <c r="L20" s="12" t="s">
        <v>334</v>
      </c>
      <c r="M20" s="12" t="s">
        <v>90</v>
      </c>
      <c r="N20" s="12" t="s">
        <v>91</v>
      </c>
      <c r="O20" s="12" t="s">
        <v>147</v>
      </c>
      <c r="P20" s="14" t="s">
        <v>335</v>
      </c>
      <c r="Q20" s="14" t="s">
        <v>148</v>
      </c>
      <c r="R20" s="11" t="s">
        <v>336</v>
      </c>
    </row>
  </sheetData>
  <mergeCells count="1">
    <mergeCell ref="A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Leaf</v>
      </c>
      <c r="D3" s="7" t="str">
        <v>Sand</v>
      </c>
      <c r="E3" s="7" t="str">
        <v>Flame</v>
      </c>
      <c r="F3" s="8" t="str">
        <v>Pepper</v>
      </c>
      <c r="G3" s="8" t="str">
        <v>Steel</v>
      </c>
      <c r="H3" s="7" t="str">
        <v>Feather</v>
      </c>
      <c r="I3" s="7" t="str">
        <v>Beetle</v>
      </c>
      <c r="J3" s="7" t="str">
        <v>Lightning</v>
      </c>
      <c r="K3" s="7" t="str">
        <v>Scale</v>
      </c>
      <c r="L3" s="7" t="str">
        <v>Crystal</v>
      </c>
      <c r="M3" s="7" t="str">
        <v>Tooth</v>
      </c>
      <c r="N3" s="8" t="str">
        <v>Egg</v>
      </c>
      <c r="O3" s="7" t="str">
        <v>Shadow</v>
      </c>
      <c r="P3" s="7" t="str">
        <v>Spirit</v>
      </c>
      <c r="Q3" s="7" t="str">
        <v>Essence</v>
      </c>
      <c r="R3" s="7" t="str">
        <v>Power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0</v>
      </c>
      <c r="B5" s="10" t="e">
        <f t="array" aca="1" ref="B5" ca="1">_xludf.XLOOKUP(A5,Images!$A:$A,Images!$C:$C,"")</f>
        <v>#NAME?</v>
      </c>
      <c r="C5" s="11" t="s">
        <v>97</v>
      </c>
      <c r="D5" s="14" t="e">
        <f t="shared" ref="D5:R5" ca="1" si="0">INDEX($C$5:$R$20, COLUMN()-2, ROW()-4)</f>
        <v>#NAME?</v>
      </c>
      <c r="E5" s="12" t="str">
        <f t="shared" si="0"/>
        <v>28 Currency</v>
      </c>
      <c r="F5" s="12" t="str">
        <f t="shared" si="0"/>
        <v>28 Currency</v>
      </c>
      <c r="G5" s="12" t="str">
        <f t="shared" si="0"/>
        <v>1 Perk</v>
      </c>
      <c r="H5" s="12" t="str">
        <f t="shared" si="0"/>
        <v>9 Raid Cards</v>
      </c>
      <c r="I5" s="12" t="str">
        <f t="shared" si="0"/>
        <v>44 Currency</v>
      </c>
      <c r="J5" s="12" t="str">
        <f t="shared" si="0"/>
        <v>Event Equipment (Safety Tongs)</v>
      </c>
      <c r="K5" s="12" t="str">
        <f t="shared" si="0"/>
        <v>220 Dust</v>
      </c>
      <c r="L5" s="12" t="str">
        <f t="shared" si="0"/>
        <v>6 Shards</v>
      </c>
      <c r="M5" s="12" t="str">
        <f t="shared" si="0"/>
        <v>1 Skill Point</v>
      </c>
      <c r="N5" s="12" t="str">
        <f t="shared" si="0"/>
        <v>44 Currency</v>
      </c>
      <c r="O5" s="12" t="str">
        <f t="shared" si="0"/>
        <v>76 Currency</v>
      </c>
      <c r="P5" s="12" t="str">
        <f t="shared" si="0"/>
        <v>76 Currency</v>
      </c>
      <c r="Q5" s="12" t="str">
        <f t="shared" si="0"/>
        <v>76 Currency</v>
      </c>
      <c r="R5" s="12" t="str">
        <f t="shared" si="0"/>
        <v>5 Hero Weapons</v>
      </c>
    </row>
    <row r="6" spans="1:18" ht="37.5" customHeight="1">
      <c r="A6" s="8" t="s">
        <v>1</v>
      </c>
      <c r="B6" s="10" t="e">
        <f t="array" aca="1" ref="B6" ca="1">_xludf.XLOOKUP(A6,Images!$A:$A,Images!$C:$C,"")</f>
        <v>#NAME?</v>
      </c>
      <c r="C6" s="13" t="e">
        <f t="array" aca="1" ref="C6" ca="1">_xludf.XLOOKUP("Beetle",Images!$A:$A,Images!$C:$C,"")</f>
        <v>#NAME?</v>
      </c>
      <c r="D6" s="11" t="s">
        <v>97</v>
      </c>
      <c r="E6" s="13" t="e">
        <f t="shared" ref="E6:R6" ca="1" si="1">INDEX($C$5:$R$20, COLUMN()-2, ROW()-4)</f>
        <v>#NAME?</v>
      </c>
      <c r="F6" s="12" t="str">
        <f t="shared" si="1"/>
        <v>28 Common Equipment</v>
      </c>
      <c r="G6" s="12" t="str">
        <f t="shared" si="1"/>
        <v>28 Common Equipment</v>
      </c>
      <c r="H6" s="12" t="str">
        <f t="shared" si="1"/>
        <v>2 Rare Equipment</v>
      </c>
      <c r="I6" s="12" t="str">
        <f t="shared" si="1"/>
        <v>44 Currency</v>
      </c>
      <c r="J6" s="12" t="str">
        <f t="shared" si="1"/>
        <v>Event Equipment (Hair of Madness)</v>
      </c>
      <c r="K6" s="12" t="str">
        <f t="shared" si="1"/>
        <v>220 Dust</v>
      </c>
      <c r="L6" s="12" t="str">
        <f t="shared" si="1"/>
        <v>6 Shards</v>
      </c>
      <c r="M6" s="12" t="str">
        <f t="shared" si="1"/>
        <v>1 Skill Point</v>
      </c>
      <c r="N6" s="12" t="str">
        <f t="shared" si="1"/>
        <v>7 Eggs</v>
      </c>
      <c r="O6" s="12" t="str">
        <f t="shared" si="1"/>
        <v>76 Currency</v>
      </c>
      <c r="P6" s="12" t="str">
        <f t="shared" si="1"/>
        <v>19 Wildcards</v>
      </c>
      <c r="Q6" s="12" t="str">
        <f t="shared" si="1"/>
        <v>76 Currency</v>
      </c>
      <c r="R6" s="12" t="str">
        <f t="shared" si="1"/>
        <v>7 Rare Equipment</v>
      </c>
    </row>
    <row r="7" spans="1:18" ht="37.5" customHeight="1">
      <c r="A7" s="8" t="s">
        <v>7</v>
      </c>
      <c r="B7" s="10" t="e">
        <f t="array" aca="1" ref="B7" ca="1">_xludf.XLOOKUP(A7,Images!$A:$A,Images!$C:$C,"")</f>
        <v>#NAME?</v>
      </c>
      <c r="C7" s="12" t="s">
        <v>97</v>
      </c>
      <c r="D7" s="13" t="e">
        <f t="array" aca="1" ref="D7" ca="1">_xludf.XLOOKUP("Lightning",Images!$A:$A,Images!$C:$C,"")</f>
        <v>#NAME?</v>
      </c>
      <c r="E7" s="11" t="s">
        <v>337</v>
      </c>
      <c r="F7" s="12" t="e">
        <f t="shared" ref="F7:R7" ca="1" si="2">INDEX($C$5:$R$20, COLUMN()-2, ROW()-4)</f>
        <v>#NAME?</v>
      </c>
      <c r="G7" s="12" t="e">
        <f t="shared" ca="1" si="2"/>
        <v>#NAME?</v>
      </c>
      <c r="H7" s="12" t="str">
        <f t="shared" si="2"/>
        <v>28 Currency</v>
      </c>
      <c r="I7" s="12" t="str">
        <f t="shared" si="2"/>
        <v>220 Dust</v>
      </c>
      <c r="J7" s="12" t="str">
        <f t="shared" si="2"/>
        <v>Event Equipment (Lab Coat)</v>
      </c>
      <c r="K7" s="12" t="str">
        <f t="shared" si="2"/>
        <v>44 Currency</v>
      </c>
      <c r="L7" s="12" t="str">
        <f t="shared" si="2"/>
        <v>6 Shards</v>
      </c>
      <c r="M7" s="12" t="str">
        <f t="shared" si="2"/>
        <v>1 Skill Point</v>
      </c>
      <c r="N7" s="12" t="str">
        <f t="shared" si="2"/>
        <v>220 Dust</v>
      </c>
      <c r="O7" s="12" t="str">
        <f t="shared" si="2"/>
        <v>1 Clan Scroll</v>
      </c>
      <c r="P7" s="12" t="str">
        <f t="shared" si="2"/>
        <v>76 Currency</v>
      </c>
      <c r="Q7" s="12" t="str">
        <f t="shared" si="2"/>
        <v>380 Dust</v>
      </c>
      <c r="R7" s="12" t="str">
        <f t="shared" si="2"/>
        <v>76 Currency</v>
      </c>
    </row>
    <row r="8" spans="1:18" ht="37.5" customHeight="1">
      <c r="A8" s="8" t="s">
        <v>21</v>
      </c>
      <c r="B8" s="10" t="e">
        <f t="array" aca="1" ref="B8" ca="1">_xludf.XLOOKUP(A8,Images!$A:$A,Images!$C:$C,"")</f>
        <v>#NAME?</v>
      </c>
      <c r="C8" s="12" t="s">
        <v>97</v>
      </c>
      <c r="D8" s="12" t="s">
        <v>99</v>
      </c>
      <c r="E8" s="12" t="e">
        <f t="array" aca="1" ref="E8" ca="1">_xludf.XLOOKUP("Scale",Images!$A:$A,Images!$C:$C,"")</f>
        <v>#NAME?</v>
      </c>
      <c r="F8" s="11" t="s">
        <v>97</v>
      </c>
      <c r="G8" s="12" t="e">
        <f t="shared" ref="G8:R8" ca="1" si="3">INDEX($C$5:$R$20, COLUMN()-2, ROW()-4)</f>
        <v>#NAME?</v>
      </c>
      <c r="H8" s="12" t="str">
        <f t="shared" si="3"/>
        <v>9 Raid Cards</v>
      </c>
      <c r="I8" s="12" t="str">
        <f t="shared" si="3"/>
        <v>44 Currency</v>
      </c>
      <c r="J8" s="12" t="str">
        <f t="shared" si="3"/>
        <v>Event Equipment (Molecularization)</v>
      </c>
      <c r="K8" s="12" t="str">
        <f t="shared" si="3"/>
        <v>44 Currency</v>
      </c>
      <c r="L8" s="12" t="str">
        <f t="shared" si="3"/>
        <v>6 Shards</v>
      </c>
      <c r="M8" s="12" t="str">
        <f t="shared" si="3"/>
        <v>44 Currency</v>
      </c>
      <c r="N8" s="12" t="str">
        <f t="shared" si="3"/>
        <v>7 Pet Eggs</v>
      </c>
      <c r="O8" s="12" t="str">
        <f t="shared" si="3"/>
        <v>1 Clan Scroll</v>
      </c>
      <c r="P8" s="12" t="str">
        <f t="shared" si="3"/>
        <v>19 Wildcards</v>
      </c>
      <c r="Q8" s="12" t="str">
        <f t="shared" si="3"/>
        <v>76 Currency</v>
      </c>
      <c r="R8" s="12" t="str">
        <f t="shared" si="3"/>
        <v>76 Currency</v>
      </c>
    </row>
    <row r="9" spans="1:18" ht="37.5" customHeight="1">
      <c r="A9" s="8" t="s">
        <v>8</v>
      </c>
      <c r="B9" s="10" t="e">
        <f t="array" aca="1" ref="B9" ca="1">_xludf.XLOOKUP(A9,Images!$A:$A,Images!$C:$C,"")</f>
        <v>#NAME?</v>
      </c>
      <c r="C9" s="12" t="s">
        <v>27</v>
      </c>
      <c r="D9" s="12" t="s">
        <v>99</v>
      </c>
      <c r="E9" s="12" t="e">
        <f t="array" aca="1" ref="E9" ca="1">_xludf.XLOOKUP("Crystal",Images!$A:$A,Images!$C:$C,"")</f>
        <v>#NAME?</v>
      </c>
      <c r="F9" s="12" t="e">
        <f t="array" aca="1" ref="F9" ca="1">_xludf.XLOOKUP("Tooth",Images!$A:$A,Images!$C:$C,"")</f>
        <v>#NAME?</v>
      </c>
      <c r="G9" s="11" t="s">
        <v>97</v>
      </c>
      <c r="H9" s="12" t="e">
        <f t="shared" ref="H9:R9" ca="1" si="4">INDEX($C$5:$R$20, COLUMN()-2, ROW()-4)</f>
        <v>#NAME?</v>
      </c>
      <c r="I9" s="12" t="str">
        <f t="shared" si="4"/>
        <v>2 Perks</v>
      </c>
      <c r="J9" s="12" t="str">
        <f t="shared" si="4"/>
        <v>Event Equipment (Master of Elements)</v>
      </c>
      <c r="K9" s="12" t="str">
        <f t="shared" si="4"/>
        <v>220 Dust</v>
      </c>
      <c r="L9" s="12" t="str">
        <f t="shared" si="4"/>
        <v>6 Shards</v>
      </c>
      <c r="M9" s="12" t="str">
        <f t="shared" si="4"/>
        <v>1 Skill Point</v>
      </c>
      <c r="N9" s="12" t="str">
        <f t="shared" si="4"/>
        <v>44 Currency</v>
      </c>
      <c r="O9" s="12" t="str">
        <f t="shared" si="4"/>
        <v>76 Currency</v>
      </c>
      <c r="P9" s="12" t="str">
        <f t="shared" si="4"/>
        <v>4 Perks</v>
      </c>
      <c r="Q9" s="12" t="str">
        <f t="shared" si="4"/>
        <v>76 Currency</v>
      </c>
      <c r="R9" s="12" t="str">
        <f t="shared" si="4"/>
        <v>4 Perks</v>
      </c>
    </row>
    <row r="10" spans="1:18" ht="37.5" customHeight="1">
      <c r="A10" s="8" t="s">
        <v>20</v>
      </c>
      <c r="B10" s="10" t="e">
        <f t="array" aca="1" ref="B10" ca="1">_xludf.XLOOKUP(A10,Images!$A:$A,Images!$C:$C,"")</f>
        <v>#NAME?</v>
      </c>
      <c r="C10" s="12" t="s">
        <v>98</v>
      </c>
      <c r="D10" s="12" t="s">
        <v>26</v>
      </c>
      <c r="E10" s="12" t="s">
        <v>97</v>
      </c>
      <c r="F10" s="13" t="s">
        <v>98</v>
      </c>
      <c r="G10" s="12" t="e">
        <f t="array" aca="1" ref="G10" ca="1">_xludf.XLOOKUP("Egg",Images!$A:$A,Images!$C:$C,"")</f>
        <v>#NAME?</v>
      </c>
      <c r="H10" s="11" t="s">
        <v>98</v>
      </c>
      <c r="I10" s="12" t="str">
        <f t="shared" ref="I10:R10" si="5">INDEX($C$5:$R$20, COLUMN()-2, ROW()-4)</f>
        <v>14 Raid Cards</v>
      </c>
      <c r="J10" s="12" t="str">
        <f t="shared" si="5"/>
        <v>44 Currency</v>
      </c>
      <c r="K10" s="12" t="str">
        <f t="shared" si="5"/>
        <v>220 Dust</v>
      </c>
      <c r="L10" s="12" t="str">
        <f t="shared" si="5"/>
        <v>6 Shards</v>
      </c>
      <c r="M10" s="12" t="str">
        <f t="shared" si="5"/>
        <v>14 Raid Cards</v>
      </c>
      <c r="N10" s="12" t="str">
        <f t="shared" si="5"/>
        <v>7 Pet Eggs</v>
      </c>
      <c r="O10" s="12" t="str">
        <f t="shared" si="5"/>
        <v>76 Currency</v>
      </c>
      <c r="P10" s="12" t="str">
        <f t="shared" si="5"/>
        <v>19 Wildcards</v>
      </c>
      <c r="Q10" s="12" t="str">
        <f t="shared" si="5"/>
        <v>25 Raid Cards</v>
      </c>
      <c r="R10" s="12" t="str">
        <f t="shared" si="5"/>
        <v>5 Hero Weapons</v>
      </c>
    </row>
    <row r="11" spans="1:18" ht="37.5" customHeight="1">
      <c r="A11" s="8" t="s">
        <v>5</v>
      </c>
      <c r="B11" s="10" t="e">
        <f t="array" aca="1" ref="B11" ca="1">_xludf.XLOOKUP(A11,Images!$A:$A,Images!$C:$C,"")</f>
        <v>#NAME?</v>
      </c>
      <c r="C11" s="12" t="s">
        <v>101</v>
      </c>
      <c r="D11" s="12" t="s">
        <v>101</v>
      </c>
      <c r="E11" s="12" t="s">
        <v>338</v>
      </c>
      <c r="F11" s="12" t="s">
        <v>101</v>
      </c>
      <c r="G11" s="12" t="s">
        <v>33</v>
      </c>
      <c r="H11" s="12" t="s">
        <v>100</v>
      </c>
      <c r="I11" s="11" t="s">
        <v>48</v>
      </c>
      <c r="J11" s="12" t="str">
        <f t="shared" ref="J11:R11" si="6">INDEX($C$5:$R$20, COLUMN()-2, ROW()-4)</f>
        <v>Legendary Equipment (Battle Skirt)</v>
      </c>
      <c r="K11" s="12" t="str">
        <f t="shared" si="6"/>
        <v>Legendary Equipment (Shooting Star)</v>
      </c>
      <c r="L11" s="12" t="str">
        <f t="shared" si="6"/>
        <v>Unique Equipment (Maple Brush)</v>
      </c>
      <c r="M11" s="12" t="e">
        <f t="shared" ca="1" si="6"/>
        <v>#NAME?</v>
      </c>
      <c r="N11" s="12" t="str">
        <f t="shared" si="6"/>
        <v>Legendary Equipment (Amazonian Royalty)</v>
      </c>
      <c r="O11" s="12" t="str">
        <f t="shared" si="6"/>
        <v>92 Currency</v>
      </c>
      <c r="P11" s="12" t="str">
        <f t="shared" si="6"/>
        <v>92 Currency</v>
      </c>
      <c r="Q11" s="12" t="str">
        <f t="shared" si="6"/>
        <v>92 Currency</v>
      </c>
      <c r="R11" s="12" t="str">
        <f t="shared" si="6"/>
        <v>4 Fortune Weapons</v>
      </c>
    </row>
    <row r="12" spans="1:18" ht="37.5" customHeight="1">
      <c r="A12" s="8" t="s">
        <v>3</v>
      </c>
      <c r="B12" s="10" t="e">
        <f t="array" aca="1" ref="B12" ca="1">_xludf.XLOOKUP(A12,Images!$A:$A,Images!$C:$C,"")</f>
        <v>#NAME?</v>
      </c>
      <c r="C12" s="12" t="s">
        <v>22</v>
      </c>
      <c r="D12" s="12" t="s">
        <v>31</v>
      </c>
      <c r="E12" s="12" t="s">
        <v>34</v>
      </c>
      <c r="F12" s="12" t="s">
        <v>36</v>
      </c>
      <c r="G12" s="12" t="s">
        <v>41</v>
      </c>
      <c r="H12" s="12" t="s">
        <v>101</v>
      </c>
      <c r="I12" s="12" t="s">
        <v>339</v>
      </c>
      <c r="J12" s="11" t="s">
        <v>48</v>
      </c>
      <c r="K12" s="12" t="str">
        <f t="shared" ref="K12:R12" si="7">INDEX($C$5:$R$20, COLUMN()-2, ROW()-4)</f>
        <v>60 Currency</v>
      </c>
      <c r="L12" s="12" t="e">
        <f t="shared" ca="1" si="7"/>
        <v>#NAME?</v>
      </c>
      <c r="M12" s="12" t="str">
        <f t="shared" si="7"/>
        <v>2 Skill Points</v>
      </c>
      <c r="N12" s="12" t="str">
        <f t="shared" si="7"/>
        <v>10 Eggs</v>
      </c>
      <c r="O12" s="12" t="str">
        <f t="shared" si="7"/>
        <v>1 Clan Scroll</v>
      </c>
      <c r="P12" s="12" t="str">
        <f t="shared" si="7"/>
        <v>23 Wildcards</v>
      </c>
      <c r="Q12" s="12" t="str">
        <f t="shared" si="7"/>
        <v>92 Currency</v>
      </c>
      <c r="R12" s="12" t="str">
        <f t="shared" si="7"/>
        <v>92 Currency</v>
      </c>
    </row>
    <row r="13" spans="1:18" ht="37.5" customHeight="1">
      <c r="A13" s="8" t="s">
        <v>9</v>
      </c>
      <c r="B13" s="10" t="e">
        <f t="array" aca="1" ref="B13" ca="1">_xludf.XLOOKUP(A13,Images!$A:$A,Images!$C:$C,"")</f>
        <v>#NAME?</v>
      </c>
      <c r="C13" s="14" t="s">
        <v>338</v>
      </c>
      <c r="D13" s="12" t="s">
        <v>338</v>
      </c>
      <c r="E13" s="12" t="s">
        <v>101</v>
      </c>
      <c r="F13" s="12" t="s">
        <v>101</v>
      </c>
      <c r="G13" s="12" t="s">
        <v>338</v>
      </c>
      <c r="H13" s="12" t="s">
        <v>338</v>
      </c>
      <c r="I13" s="12" t="s">
        <v>340</v>
      </c>
      <c r="J13" s="12" t="s">
        <v>48</v>
      </c>
      <c r="K13" s="11" t="s">
        <v>48</v>
      </c>
      <c r="L13" s="12" t="str">
        <f t="shared" ref="L13:R13" si="8">INDEX($C$5:$R$20, COLUMN()-2, ROW()-4)</f>
        <v>8 Shards</v>
      </c>
      <c r="M13" s="12" t="str">
        <f t="shared" si="8"/>
        <v>300 Dust</v>
      </c>
      <c r="N13" s="12" t="str">
        <f t="shared" si="8"/>
        <v>60 Currency</v>
      </c>
      <c r="O13" s="12" t="str">
        <f t="shared" si="8"/>
        <v>1 Fortune Scroll</v>
      </c>
      <c r="P13" s="12" t="str">
        <f t="shared" si="8"/>
        <v>92 Currency</v>
      </c>
      <c r="Q13" s="12" t="str">
        <f t="shared" si="8"/>
        <v>460 Dust</v>
      </c>
      <c r="R13" s="12" t="str">
        <f t="shared" si="8"/>
        <v>92 Currency</v>
      </c>
    </row>
    <row r="14" spans="1:18" ht="37.5" customHeight="1">
      <c r="A14" s="8" t="s">
        <v>95</v>
      </c>
      <c r="B14" s="10" t="e">
        <f t="array" aca="1" ref="B14" ca="1">_xludf.XLOOKUP(A14,Images!$A:$A,Images!$C:$C,"")</f>
        <v>#NAME?</v>
      </c>
      <c r="C14" s="12" t="s">
        <v>162</v>
      </c>
      <c r="D14" s="15" t="s">
        <v>162</v>
      </c>
      <c r="E14" s="12" t="s">
        <v>162</v>
      </c>
      <c r="F14" s="14" t="s">
        <v>162</v>
      </c>
      <c r="G14" s="12" t="s">
        <v>162</v>
      </c>
      <c r="H14" s="12" t="s">
        <v>162</v>
      </c>
      <c r="I14" s="12" t="s">
        <v>341</v>
      </c>
      <c r="J14" s="16" t="e">
        <f t="array" aca="1" ref="J14" ca="1">_xludf.XLOOKUP("Shadow",Images!$A:$A,Images!$C:$C,"")</f>
        <v>#NAME?</v>
      </c>
      <c r="K14" s="12" t="s">
        <v>342</v>
      </c>
      <c r="L14" s="11" t="s">
        <v>48</v>
      </c>
      <c r="M14" s="12" t="str">
        <f t="shared" ref="M14:R14" si="9">INDEX($C$5:$R$20, COLUMN()-2, ROW()-4)</f>
        <v>Avatar</v>
      </c>
      <c r="N14" s="12" t="e">
        <f t="shared" ca="1" si="9"/>
        <v>#NAME?</v>
      </c>
      <c r="O14" s="12" t="str">
        <f t="shared" si="9"/>
        <v>1 Fortune Scroll</v>
      </c>
      <c r="P14" s="12" t="str">
        <f t="shared" si="9"/>
        <v>23 Wild Cards</v>
      </c>
      <c r="Q14" s="12" t="str">
        <f t="shared" si="9"/>
        <v>13 Shards</v>
      </c>
      <c r="R14" s="12" t="str">
        <f t="shared" si="9"/>
        <v>4 Fortune Weapons</v>
      </c>
    </row>
    <row r="15" spans="1:18" ht="37.5" customHeight="1">
      <c r="A15" s="8" t="s">
        <v>6</v>
      </c>
      <c r="B15" s="10" t="e">
        <f t="array" aca="1" ref="B15" ca="1">_xludf.XLOOKUP(A15,Images!$A:$A,Images!$C:$C,"")</f>
        <v>#NAME?</v>
      </c>
      <c r="C15" s="12" t="s">
        <v>106</v>
      </c>
      <c r="D15" s="12" t="s">
        <v>106</v>
      </c>
      <c r="E15" s="12" t="s">
        <v>106</v>
      </c>
      <c r="F15" s="12" t="s">
        <v>101</v>
      </c>
      <c r="G15" s="12" t="s">
        <v>106</v>
      </c>
      <c r="H15" s="12" t="s">
        <v>100</v>
      </c>
      <c r="I15" s="12" t="e">
        <f t="array" aca="1" ref="I15" ca="1">_xludf.XLOOKUP("Spirit",Images!$A:$A,Images!$C:$C,"")</f>
        <v>#NAME?</v>
      </c>
      <c r="J15" s="12" t="s">
        <v>55</v>
      </c>
      <c r="K15" s="12" t="s">
        <v>321</v>
      </c>
      <c r="L15" s="12" t="s">
        <v>343</v>
      </c>
      <c r="M15" s="11" t="s">
        <v>48</v>
      </c>
      <c r="N15" s="12" t="e">
        <f t="shared" ref="N15:R15" ca="1" si="10">INDEX($C$5:$R$20, COLUMN()-2, ROW()-4)</f>
        <v>#NAME?</v>
      </c>
      <c r="O15" s="12" t="str">
        <f t="shared" si="10"/>
        <v>92 Currency</v>
      </c>
      <c r="P15" s="12" t="str">
        <f t="shared" si="10"/>
        <v>92 Currency</v>
      </c>
      <c r="Q15" s="12" t="str">
        <f t="shared" si="10"/>
        <v>3 Skill Points</v>
      </c>
      <c r="R15" s="12" t="str">
        <f t="shared" si="10"/>
        <v>4 Fortune Weapons</v>
      </c>
    </row>
    <row r="16" spans="1:18" ht="37.5" customHeight="1">
      <c r="A16" s="8" t="s">
        <v>96</v>
      </c>
      <c r="B16" s="10" t="e">
        <f t="array" aca="1" ref="B16" ca="1">_xludf.XLOOKUP(A16,Images!$A:$A,Images!$C:$C,"")</f>
        <v>#NAME?</v>
      </c>
      <c r="C16" s="12" t="s">
        <v>101</v>
      </c>
      <c r="D16" s="12" t="s">
        <v>107</v>
      </c>
      <c r="E16" s="12" t="s">
        <v>338</v>
      </c>
      <c r="F16" s="12" t="s">
        <v>344</v>
      </c>
      <c r="G16" s="12" t="s">
        <v>101</v>
      </c>
      <c r="H16" s="12" t="s">
        <v>344</v>
      </c>
      <c r="I16" s="12" t="s">
        <v>345</v>
      </c>
      <c r="J16" s="12" t="s">
        <v>108</v>
      </c>
      <c r="K16" s="12" t="s">
        <v>48</v>
      </c>
      <c r="L16" s="12" t="e">
        <f t="array" aca="1" ref="L16" ca="1">_xludf.XLOOKUP("Essence",Images!$A:$A,Images!$C:$C,"")</f>
        <v>#NAME?</v>
      </c>
      <c r="M16" s="16" t="e">
        <f t="array" aca="1" ref="M16" ca="1">_xludf.XLOOKUP("Power",Images!$A:$A,Images!$C:$C,"")</f>
        <v>#NAME?</v>
      </c>
      <c r="N16" s="11" t="s">
        <v>172</v>
      </c>
      <c r="O16" s="12" t="str">
        <f t="shared" ref="O16:R16" si="11">INDEX($C$5:$R$20, COLUMN()-2, ROW()-4)</f>
        <v>1 Fortune Scroll</v>
      </c>
      <c r="P16" s="12" t="str">
        <f t="shared" si="11"/>
        <v>92 Currency</v>
      </c>
      <c r="Q16" s="12" t="str">
        <f t="shared" si="11"/>
        <v>15 Pet Eggs</v>
      </c>
      <c r="R16" s="12" t="str">
        <f t="shared" si="11"/>
        <v>92 Currency</v>
      </c>
    </row>
    <row r="17" spans="1:18" ht="37.5" customHeight="1">
      <c r="A17" s="8" t="s">
        <v>12</v>
      </c>
      <c r="B17" s="10" t="e">
        <f t="array" aca="1" ref="B17" ca="1">_xludf.XLOOKUP(A17,Images!$A:$A,Images!$C:$C,"")</f>
        <v>#NAME?</v>
      </c>
      <c r="C17" s="12" t="s">
        <v>109</v>
      </c>
      <c r="D17" s="12" t="s">
        <v>109</v>
      </c>
      <c r="E17" s="12" t="s">
        <v>73</v>
      </c>
      <c r="F17" s="12" t="s">
        <v>73</v>
      </c>
      <c r="G17" s="12" t="s">
        <v>109</v>
      </c>
      <c r="H17" s="12" t="s">
        <v>109</v>
      </c>
      <c r="I17" s="14" t="s">
        <v>111</v>
      </c>
      <c r="J17" s="12" t="s">
        <v>73</v>
      </c>
      <c r="K17" s="12" t="s">
        <v>105</v>
      </c>
      <c r="L17" s="12" t="s">
        <v>105</v>
      </c>
      <c r="M17" s="12" t="s">
        <v>111</v>
      </c>
      <c r="N17" s="12" t="s">
        <v>105</v>
      </c>
      <c r="O17" s="11" t="s">
        <v>112</v>
      </c>
      <c r="P17" s="12" t="str">
        <f t="shared" ref="P17:R17" si="12">INDEX($C$5:$R$20, COLUMN()-2, ROW()-4)</f>
        <v>31 Wildcards</v>
      </c>
      <c r="Q17" s="12" t="str">
        <f t="shared" si="12"/>
        <v>Unique Equipment (Maple Brush)</v>
      </c>
      <c r="R17" s="12" t="str">
        <f t="shared" si="12"/>
        <v>1 Fortune Scroll</v>
      </c>
    </row>
    <row r="18" spans="1:18" ht="37.5" customHeight="1">
      <c r="A18" s="8" t="s">
        <v>13</v>
      </c>
      <c r="B18" s="10" t="e">
        <f t="array" aca="1" ref="B18" ca="1">_xludf.XLOOKUP(A18,Images!$A:$A,Images!$C:$C,"")</f>
        <v>#NAME?</v>
      </c>
      <c r="C18" s="12" t="s">
        <v>109</v>
      </c>
      <c r="D18" s="12" t="s">
        <v>114</v>
      </c>
      <c r="E18" s="12" t="s">
        <v>109</v>
      </c>
      <c r="F18" s="12" t="s">
        <v>114</v>
      </c>
      <c r="G18" s="12" t="s">
        <v>346</v>
      </c>
      <c r="H18" s="12" t="s">
        <v>114</v>
      </c>
      <c r="I18" s="14" t="s">
        <v>111</v>
      </c>
      <c r="J18" s="12" t="s">
        <v>115</v>
      </c>
      <c r="K18" s="12" t="s">
        <v>111</v>
      </c>
      <c r="L18" s="12" t="s">
        <v>347</v>
      </c>
      <c r="M18" s="12" t="s">
        <v>111</v>
      </c>
      <c r="N18" s="12" t="s">
        <v>111</v>
      </c>
      <c r="O18" s="12" t="s">
        <v>116</v>
      </c>
      <c r="P18" s="11" t="s">
        <v>112</v>
      </c>
      <c r="Q18" s="12" t="str">
        <f t="shared" ref="Q18:R18" si="13">INDEX($C$5:$R$20, COLUMN()-2, ROW()-4)</f>
        <v>124 Currency</v>
      </c>
      <c r="R18" s="12" t="str">
        <f t="shared" si="13"/>
        <v>124 Currency</v>
      </c>
    </row>
    <row r="19" spans="1:18" ht="37.5" customHeight="1">
      <c r="A19" s="8" t="s">
        <v>10</v>
      </c>
      <c r="B19" s="10" t="e">
        <f t="array" aca="1" ref="B19" ca="1">_xludf.XLOOKUP(A19,Images!$A:$A,Images!$C:$C,"")</f>
        <v>#NAME?</v>
      </c>
      <c r="C19" s="12" t="s">
        <v>109</v>
      </c>
      <c r="D19" s="12" t="s">
        <v>109</v>
      </c>
      <c r="E19" s="12" t="s">
        <v>348</v>
      </c>
      <c r="F19" s="12" t="s">
        <v>109</v>
      </c>
      <c r="G19" s="12" t="s">
        <v>109</v>
      </c>
      <c r="H19" s="12" t="s">
        <v>110</v>
      </c>
      <c r="I19" s="12" t="s">
        <v>111</v>
      </c>
      <c r="J19" s="12" t="s">
        <v>111</v>
      </c>
      <c r="K19" s="12" t="s">
        <v>349</v>
      </c>
      <c r="L19" s="12" t="s">
        <v>350</v>
      </c>
      <c r="M19" s="12" t="s">
        <v>53</v>
      </c>
      <c r="N19" s="12" t="s">
        <v>351</v>
      </c>
      <c r="O19" s="12" t="s">
        <v>341</v>
      </c>
      <c r="P19" s="12" t="s">
        <v>112</v>
      </c>
      <c r="Q19" s="11" t="s">
        <v>112</v>
      </c>
      <c r="R19" s="12" t="str">
        <f t="array" ref="R19">INDEX($C$5:$R$20, COLUMN()-2, ROW()-4)</f>
        <v>124 Currency</v>
      </c>
    </row>
    <row r="20" spans="1:18" ht="37.5" customHeight="1">
      <c r="A20" s="8" t="s">
        <v>11</v>
      </c>
      <c r="B20" s="10" t="e">
        <f t="array" aca="1" ref="B20" ca="1">_xludf.XLOOKUP(A20,Images!$A:$A,Images!$C:$C,"")</f>
        <v>#NAME?</v>
      </c>
      <c r="C20" s="12" t="s">
        <v>113</v>
      </c>
      <c r="D20" s="12" t="s">
        <v>352</v>
      </c>
      <c r="E20" s="12" t="s">
        <v>109</v>
      </c>
      <c r="F20" s="14" t="s">
        <v>109</v>
      </c>
      <c r="G20" s="12" t="s">
        <v>346</v>
      </c>
      <c r="H20" s="12" t="s">
        <v>113</v>
      </c>
      <c r="I20" s="12" t="s">
        <v>118</v>
      </c>
      <c r="J20" s="12" t="s">
        <v>111</v>
      </c>
      <c r="K20" s="12" t="s">
        <v>111</v>
      </c>
      <c r="L20" s="12" t="s">
        <v>118</v>
      </c>
      <c r="M20" s="12" t="s">
        <v>118</v>
      </c>
      <c r="N20" s="12" t="s">
        <v>111</v>
      </c>
      <c r="O20" s="12" t="s">
        <v>105</v>
      </c>
      <c r="P20" s="14" t="s">
        <v>112</v>
      </c>
      <c r="Q20" s="14" t="s">
        <v>112</v>
      </c>
      <c r="R20" s="11" t="s">
        <v>353</v>
      </c>
    </row>
  </sheetData>
  <mergeCells count="1">
    <mergeCell ref="A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8" width="12.6640625" customWidth="1"/>
  </cols>
  <sheetData>
    <row r="1" spans="1:18" ht="37.5" hidden="1" customHeight="1">
      <c r="A1" s="2" t="s">
        <v>237</v>
      </c>
      <c r="B1" s="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37.5" hidden="1" customHeight="1">
      <c r="A2" s="2" t="s">
        <v>15</v>
      </c>
      <c r="B2" s="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7.5" customHeight="1">
      <c r="A3" s="63" t="e">
        <f t="array" aca="1" ref="A3" ca="1">"Recipes Remaining:
" &amp; 136-((16 - SUM((COLUMN(C5:R20)-ROW(C5:R20)=-2)*IF(C5:R20&lt;&gt;"",1,0)))+IF(COUNTIF(C5:R20,"&lt;&gt;")&gt;=256,0,FLOOR((256-(COUNTIF(C5:R20,"&lt;&gt;")+(16 - SUM((COLUMN(C5:R20)-ROW(C5:R20)=-2)*IF(C5:R20&lt;&gt;"",1,0)))))/2,1))) &amp; "/136" &amp; "
% Complete: " &amp; ROUND((136-((16 - SUM((COLUMN(C5:R20)-ROW(C5:R20)=-2)*IF(C5:R20&lt;&gt;"",1,0)))+IF(COUNTIF(C5:R20,"&lt;&gt;")&gt;=256,0,FLOOR((256-(COUNTIF(C5:R20,"&lt;&gt;")+(16 - SUM((COLUMN(C5:R20)-ROW(C5:R20)=-2)*IF(C5:R20&lt;&gt;"",1,0)))))/2,1))))/136,4) * 100 &amp; "%"</f>
        <v>#NAME?</v>
      </c>
      <c r="B3" s="59"/>
      <c r="C3" s="1" t="s">
        <v>0</v>
      </c>
      <c r="D3" s="26" t="s">
        <v>18</v>
      </c>
      <c r="E3" s="26" t="s">
        <v>16</v>
      </c>
      <c r="F3" s="26" t="s">
        <v>4</v>
      </c>
      <c r="G3" s="26" t="s">
        <v>2</v>
      </c>
      <c r="H3" s="26" t="s">
        <v>17</v>
      </c>
      <c r="I3" s="26" t="s">
        <v>7</v>
      </c>
      <c r="J3" s="26" t="s">
        <v>95</v>
      </c>
      <c r="K3" s="26" t="s">
        <v>3</v>
      </c>
      <c r="L3" s="26" t="s">
        <v>10</v>
      </c>
      <c r="M3" s="26" t="s">
        <v>5</v>
      </c>
      <c r="N3" s="26" t="s">
        <v>9</v>
      </c>
      <c r="O3" s="26" t="s">
        <v>11</v>
      </c>
      <c r="P3" s="26" t="s">
        <v>8</v>
      </c>
      <c r="Q3" s="26" t="s">
        <v>6</v>
      </c>
      <c r="R3" s="26" t="s">
        <v>13</v>
      </c>
    </row>
    <row r="4" spans="1:18" ht="37.5" customHeight="1">
      <c r="A4" s="60"/>
      <c r="B4" s="61"/>
      <c r="C4" s="34" t="e">
        <f t="array" aca="1" ref="C4" ca="1">_xludf.XLOOKUP(C3,Images!$A:$A,Images!$C:$C,"")</f>
        <v>#NAME?</v>
      </c>
      <c r="D4" s="34" t="e">
        <f t="array" aca="1" ref="D4" ca="1">_xludf.XLOOKUP(D3,Images!$A:$A,Images!$C:$C,"")</f>
        <v>#NAME?</v>
      </c>
      <c r="E4" s="34" t="e">
        <f t="array" aca="1" ref="E4" ca="1">_xludf.XLOOKUP(E3,Images!$A:$A,Images!$C:$C,"")</f>
        <v>#NAME?</v>
      </c>
      <c r="F4" s="34" t="e">
        <f t="array" aca="1" ref="F4" ca="1">_xludf.XLOOKUP(F3,Images!$A:$A,Images!$C:$C,"")</f>
        <v>#NAME?</v>
      </c>
      <c r="G4" s="34" t="e">
        <f t="array" aca="1" ref="G4" ca="1">_xludf.XLOOKUP(G3,Images!$A:$A,Images!$C:$C,"")</f>
        <v>#NAME?</v>
      </c>
      <c r="H4" s="34" t="e">
        <f t="array" aca="1" ref="H4" ca="1">_xludf.XLOOKUP(H3,Images!$A:$A,Images!$C:$C,"")</f>
        <v>#NAME?</v>
      </c>
      <c r="I4" s="34" t="e">
        <f t="array" aca="1" ref="I4" ca="1">_xludf.XLOOKUP(I3,Images!$A:$A,Images!$C:$C,"")</f>
        <v>#NAME?</v>
      </c>
      <c r="J4" s="34" t="e">
        <f t="array" aca="1" ref="J4" ca="1">_xludf.XLOOKUP(J3,Images!$A:$A,Images!$C:$C,"")</f>
        <v>#NAME?</v>
      </c>
      <c r="K4" s="34" t="e">
        <f t="array" aca="1" ref="K4" ca="1">_xludf.XLOOKUP(K3,Images!$A:$A,Images!$C:$C,"")</f>
        <v>#NAME?</v>
      </c>
      <c r="L4" s="34" t="e">
        <f t="array" aca="1" ref="L4" ca="1">_xludf.XLOOKUP(L3,Images!$A:$A,Images!$C:$C,"")</f>
        <v>#NAME?</v>
      </c>
      <c r="M4" s="34" t="e">
        <f t="array" aca="1" ref="M4" ca="1">_xludf.XLOOKUP(M3,Images!$A:$A,Images!$C:$C,"")</f>
        <v>#NAME?</v>
      </c>
      <c r="N4" s="34" t="e">
        <f t="array" aca="1" ref="N4" ca="1">_xludf.XLOOKUP(N3,Images!$A:$A,Images!$C:$C,"")</f>
        <v>#NAME?</v>
      </c>
      <c r="O4" s="34" t="e">
        <f t="array" aca="1" ref="O4" ca="1">_xludf.XLOOKUP(O3,Images!$A:$A,Images!$C:$C,"")</f>
        <v>#NAME?</v>
      </c>
      <c r="P4" s="34" t="e">
        <f t="array" aca="1" ref="P4" ca="1">_xludf.XLOOKUP(P3,Images!$A:$A,Images!$C:$C,"")</f>
        <v>#NAME?</v>
      </c>
      <c r="Q4" s="34" t="e">
        <f t="array" aca="1" ref="Q4" ca="1">_xludf.XLOOKUP(Q3,Images!$A:$A,Images!$C:$C,"")</f>
        <v>#NAME?</v>
      </c>
      <c r="R4" s="34" t="e">
        <f t="array" aca="1" ref="R4" ca="1">_xludf.XLOOKUP(R3,Images!$A:$A,Images!$C:$C,"")</f>
        <v>#NAME?</v>
      </c>
    </row>
    <row r="5" spans="1:18" ht="37.5" customHeight="1">
      <c r="A5" s="1" t="s">
        <v>0</v>
      </c>
      <c r="B5" s="34" t="e">
        <f t="array" aca="1" ref="B5" ca="1">_xludf.XLOOKUP(A5,Images!$A:$A,Images!$C:$C,"")</f>
        <v>#NAME?</v>
      </c>
      <c r="C5" s="35" t="e">
        <f t="array" aca="1" ref="C5" ca="1">_xludf.XLOOKUP("Petal",Images!$A:$A,Images!$C:$C,"")</f>
        <v>#NAME?</v>
      </c>
      <c r="D5" s="36" t="s">
        <v>238</v>
      </c>
      <c r="E5" s="36" t="s">
        <v>239</v>
      </c>
      <c r="F5" s="36" t="s">
        <v>240</v>
      </c>
      <c r="G5" s="36" t="s">
        <v>33</v>
      </c>
      <c r="H5" s="36" t="s">
        <v>100</v>
      </c>
      <c r="I5" s="36" t="s">
        <v>242</v>
      </c>
      <c r="J5" s="36" t="s">
        <v>241</v>
      </c>
      <c r="K5" s="36" t="s">
        <v>171</v>
      </c>
      <c r="L5" s="36" t="s">
        <v>244</v>
      </c>
      <c r="M5" s="36" t="s">
        <v>132</v>
      </c>
      <c r="N5" s="36" t="s">
        <v>245</v>
      </c>
      <c r="O5" s="37" t="s">
        <v>243</v>
      </c>
      <c r="P5" s="36" t="s">
        <v>247</v>
      </c>
      <c r="Q5" s="36" t="s">
        <v>246</v>
      </c>
      <c r="R5" s="36" t="s">
        <v>246</v>
      </c>
    </row>
    <row r="6" spans="1:18" ht="37.5" customHeight="1">
      <c r="A6" s="26" t="s">
        <v>18</v>
      </c>
      <c r="B6" s="34" t="e">
        <f t="array" aca="1" ref="B6" ca="1">_xludf.XLOOKUP(A6,Images!$A:$A,Images!$C:$C,"")</f>
        <v>#NAME?</v>
      </c>
      <c r="C6" s="37" t="s">
        <v>238</v>
      </c>
      <c r="D6" s="35" t="e">
        <f t="array" aca="1" ref="D6" ca="1">_xludf.XLOOKUP("Berries",Images!$A:$A,Images!$C:$C,"")</f>
        <v>#NAME?</v>
      </c>
      <c r="E6" s="36" t="e">
        <f t="array" aca="1" ref="E6" ca="1">_xludf.XLOOKUP("Poison",Images!$A:$A,Images!$C:$C,"")</f>
        <v>#NAME?</v>
      </c>
      <c r="F6" s="36" t="s">
        <v>34</v>
      </c>
      <c r="G6" s="36" t="s">
        <v>248</v>
      </c>
      <c r="H6" s="36" t="s">
        <v>354</v>
      </c>
      <c r="I6" s="36" t="s">
        <v>36</v>
      </c>
      <c r="J6" s="36" t="e">
        <f t="array" aca="1" ref="J6" ca="1">_xludf.XLOOKUP("Essence",Images!$A:$A,Images!$C:$C,"")</f>
        <v>#NAME?</v>
      </c>
      <c r="K6" s="36" t="s">
        <v>163</v>
      </c>
      <c r="L6" s="36" t="s">
        <v>250</v>
      </c>
      <c r="M6" s="36" t="s">
        <v>250</v>
      </c>
      <c r="N6" s="36" t="s">
        <v>251</v>
      </c>
      <c r="O6" s="36" t="s">
        <v>249</v>
      </c>
      <c r="P6" s="36" t="s">
        <v>252</v>
      </c>
      <c r="Q6" s="36" t="s">
        <v>253</v>
      </c>
      <c r="R6" s="36" t="s">
        <v>182</v>
      </c>
    </row>
    <row r="7" spans="1:18" ht="37.5" customHeight="1">
      <c r="A7" s="26" t="s">
        <v>16</v>
      </c>
      <c r="B7" s="34" t="e">
        <f t="array" aca="1" ref="B7" ca="1">_xludf.XLOOKUP(A7,Images!$A:$A,Images!$C:$C,"")</f>
        <v>#NAME?</v>
      </c>
      <c r="C7" s="36" t="s">
        <v>239</v>
      </c>
      <c r="D7" s="36" t="e">
        <f t="array" aca="1" ref="D7" ca="1">_xludf.XLOOKUP("Poison",Images!$A:$A,Images!$C:$C,"")</f>
        <v>#NAME?</v>
      </c>
      <c r="E7" s="35" t="e">
        <f t="array" aca="1" ref="E7" ca="1">_xludf.XLOOKUP("Water",Images!$A:$A,Images!$C:$C,"")</f>
        <v>#NAME?</v>
      </c>
      <c r="F7" s="15" t="s">
        <v>254</v>
      </c>
      <c r="G7" s="36" t="e">
        <f t="array" aca="1" ref="G7" ca="1">_xludf.XLOOKUP("Mushroom",Images!$A:$A,Images!$C:$C,"")</f>
        <v>#NAME?</v>
      </c>
      <c r="H7" s="36" t="e">
        <f t="array" aca="1" ref="H7" ca="1">_xludf.XLOOKUP("Lightning",Images!$A:$A,Images!$C:$C,"")</f>
        <v>#NAME?</v>
      </c>
      <c r="I7" s="36" t="s">
        <v>255</v>
      </c>
      <c r="J7" s="36" t="s">
        <v>172</v>
      </c>
      <c r="K7" s="36" t="s">
        <v>257</v>
      </c>
      <c r="L7" s="36" t="s">
        <v>166</v>
      </c>
      <c r="M7" s="36" t="s">
        <v>258</v>
      </c>
      <c r="N7" s="36" t="s">
        <v>256</v>
      </c>
      <c r="O7" s="36" t="s">
        <v>256</v>
      </c>
      <c r="P7" s="38" t="s">
        <v>260</v>
      </c>
      <c r="Q7" s="36" t="s">
        <v>188</v>
      </c>
      <c r="R7" s="36" t="s">
        <v>259</v>
      </c>
    </row>
    <row r="8" spans="1:18" ht="37.5" customHeight="1">
      <c r="A8" s="26" t="s">
        <v>4</v>
      </c>
      <c r="B8" s="34" t="e">
        <f t="array" aca="1" ref="B8" ca="1">_xludf.XLOOKUP(A8,Images!$A:$A,Images!$C:$C,"")</f>
        <v>#NAME?</v>
      </c>
      <c r="C8" s="36" t="s">
        <v>240</v>
      </c>
      <c r="D8" s="36" t="s">
        <v>34</v>
      </c>
      <c r="E8" s="36" t="s">
        <v>254</v>
      </c>
      <c r="F8" s="35" t="e">
        <f t="array" aca="1" ref="F8" ca="1">_xludf.XLOOKUP("Flame",Images!$A:$A,Images!$C:$C,"")</f>
        <v>#NAME?</v>
      </c>
      <c r="G8" s="36" t="s">
        <v>62</v>
      </c>
      <c r="H8" s="36" t="s">
        <v>270</v>
      </c>
      <c r="I8" s="36" t="e">
        <f t="array" aca="1" ref="I8" ca="1">_xludf.XLOOKUP("Beetle",Images!$A:$A,Images!$C:$C,"")</f>
        <v>#NAME?</v>
      </c>
      <c r="J8" s="36" t="s">
        <v>269</v>
      </c>
      <c r="K8" s="36" t="s">
        <v>272</v>
      </c>
      <c r="L8" s="36" t="s">
        <v>269</v>
      </c>
      <c r="M8" s="36" t="s">
        <v>269</v>
      </c>
      <c r="N8" s="36" t="s">
        <v>273</v>
      </c>
      <c r="O8" s="36" t="s">
        <v>271</v>
      </c>
      <c r="P8" s="36" t="s">
        <v>275</v>
      </c>
      <c r="Q8" s="36" t="s">
        <v>276</v>
      </c>
      <c r="R8" s="36" t="s">
        <v>274</v>
      </c>
    </row>
    <row r="9" spans="1:18" ht="37.5" customHeight="1">
      <c r="A9" s="26" t="s">
        <v>2</v>
      </c>
      <c r="B9" s="34" t="e">
        <f t="array" aca="1" ref="B9" ca="1">_xludf.XLOOKUP(A9,Images!$A:$A,Images!$C:$C,"")</f>
        <v>#NAME?</v>
      </c>
      <c r="C9" s="36" t="s">
        <v>33</v>
      </c>
      <c r="D9" s="36" t="s">
        <v>248</v>
      </c>
      <c r="E9" s="36" t="e">
        <f t="array" aca="1" ref="E9" ca="1">_xludf.XLOOKUP("Mushroom",Images!$A:$A,Images!$C:$C,"")</f>
        <v>#NAME?</v>
      </c>
      <c r="F9" s="36" t="s">
        <v>62</v>
      </c>
      <c r="G9" s="35" t="e">
        <f t="array" aca="1" ref="G9" ca="1">_xludf.XLOOKUP("Crystal",Images!$A:$A,Images!$C:$C,"")</f>
        <v>#NAME?</v>
      </c>
      <c r="H9" s="36" t="s">
        <v>261</v>
      </c>
      <c r="I9" s="36" t="s">
        <v>262</v>
      </c>
      <c r="J9" s="36" t="s">
        <v>109</v>
      </c>
      <c r="K9" s="15" t="s">
        <v>113</v>
      </c>
      <c r="L9" s="36" t="s">
        <v>264</v>
      </c>
      <c r="M9" s="36" t="s">
        <v>249</v>
      </c>
      <c r="N9" s="36" t="s">
        <v>265</v>
      </c>
      <c r="O9" s="36" t="s">
        <v>263</v>
      </c>
      <c r="P9" s="36" t="s">
        <v>268</v>
      </c>
      <c r="Q9" s="36" t="s">
        <v>267</v>
      </c>
      <c r="R9" s="36" t="s">
        <v>267</v>
      </c>
    </row>
    <row r="10" spans="1:18" ht="37.5" customHeight="1">
      <c r="A10" s="26" t="s">
        <v>17</v>
      </c>
      <c r="B10" s="34" t="e">
        <f t="array" aca="1" ref="B10" ca="1">_xludf.XLOOKUP(A10,Images!$A:$A,Images!$C:$C,"")</f>
        <v>#NAME?</v>
      </c>
      <c r="C10" s="36" t="s">
        <v>100</v>
      </c>
      <c r="D10" s="36" t="s">
        <v>41</v>
      </c>
      <c r="E10" s="36" t="e">
        <f t="array" aca="1" ref="E10" ca="1">_xludf.XLOOKUP("Lightning",Images!$A:$A,Images!$C:$C,"")</f>
        <v>#NAME?</v>
      </c>
      <c r="F10" s="36" t="s">
        <v>270</v>
      </c>
      <c r="G10" s="36" t="s">
        <v>261</v>
      </c>
      <c r="H10" s="35" t="e">
        <f t="array" aca="1" ref="H10" ca="1">_xludf.XLOOKUP("Power",Images!$A:$A,Images!$C:$C,"")</f>
        <v>#NAME?</v>
      </c>
      <c r="I10" s="36" t="s">
        <v>109</v>
      </c>
      <c r="J10" s="36" t="s">
        <v>277</v>
      </c>
      <c r="K10" s="36" t="s">
        <v>117</v>
      </c>
      <c r="L10" s="36" t="s">
        <v>330</v>
      </c>
      <c r="M10" s="37" t="s">
        <v>271</v>
      </c>
      <c r="N10" s="36" t="s">
        <v>285</v>
      </c>
      <c r="O10" s="36" t="e">
        <f t="array" aca="1" ref="O10" ca="1">_xludf.XLOOKUP("Spirit",Images!$A:$A,Images!$C:$C,"")</f>
        <v>#NAME?</v>
      </c>
      <c r="P10" s="36" t="s">
        <v>287</v>
      </c>
      <c r="Q10" s="36" t="s">
        <v>288</v>
      </c>
      <c r="R10" s="36" t="s">
        <v>286</v>
      </c>
    </row>
    <row r="11" spans="1:18" ht="37.5" customHeight="1">
      <c r="A11" s="26" t="s">
        <v>7</v>
      </c>
      <c r="B11" s="34" t="e">
        <f t="array" aca="1" ref="B11" ca="1">_xludf.XLOOKUP(A11,Images!$A:$A,Images!$C:$C,"")</f>
        <v>#NAME?</v>
      </c>
      <c r="C11" s="36" t="s">
        <v>242</v>
      </c>
      <c r="D11" s="36" t="s">
        <v>36</v>
      </c>
      <c r="E11" s="36" t="s">
        <v>255</v>
      </c>
      <c r="F11" s="36" t="e">
        <f t="array" aca="1" ref="F11" ca="1">_xludf.XLOOKUP("Beetle",Images!$A:$A,Images!$C:$C,"")</f>
        <v>#NAME?</v>
      </c>
      <c r="G11" s="36" t="s">
        <v>262</v>
      </c>
      <c r="H11" s="36" t="s">
        <v>109</v>
      </c>
      <c r="I11" s="35" t="e">
        <f t="array" aca="1" ref="I11" ca="1">_xludf.XLOOKUP("Scale",Images!$A:$A,Images!$C:$C,"")</f>
        <v>#NAME?</v>
      </c>
      <c r="J11" s="36" t="s">
        <v>278</v>
      </c>
      <c r="K11" s="36" t="s">
        <v>289</v>
      </c>
      <c r="L11" s="36" t="s">
        <v>290</v>
      </c>
      <c r="M11" s="36" t="s">
        <v>292</v>
      </c>
      <c r="N11" s="36" t="s">
        <v>291</v>
      </c>
      <c r="O11" s="36" t="s">
        <v>66</v>
      </c>
      <c r="P11" s="36" t="s">
        <v>293</v>
      </c>
      <c r="Q11" s="36" t="s">
        <v>78</v>
      </c>
      <c r="R11" s="36" t="s">
        <v>288</v>
      </c>
    </row>
    <row r="12" spans="1:18" ht="37.5" customHeight="1">
      <c r="A12" s="26" t="s">
        <v>95</v>
      </c>
      <c r="B12" s="34" t="e">
        <f t="array" aca="1" ref="B12" ca="1">_xludf.XLOOKUP(A12,Images!$A:$A,Images!$C:$C,"")</f>
        <v>#NAME?</v>
      </c>
      <c r="C12" s="36" t="s">
        <v>241</v>
      </c>
      <c r="D12" s="36" t="e">
        <f t="array" aca="1" ref="D12" ca="1">_xludf.XLOOKUP("Essence",Images!$A:$A,Images!$C:$C,"")</f>
        <v>#NAME?</v>
      </c>
      <c r="E12" s="36" t="s">
        <v>172</v>
      </c>
      <c r="F12" s="36" t="s">
        <v>269</v>
      </c>
      <c r="G12" s="36" t="s">
        <v>109</v>
      </c>
      <c r="H12" s="36" t="s">
        <v>277</v>
      </c>
      <c r="I12" s="36" t="s">
        <v>278</v>
      </c>
      <c r="J12" s="35" t="s">
        <v>180</v>
      </c>
      <c r="K12" s="36" t="s">
        <v>280</v>
      </c>
      <c r="L12" s="36" t="s">
        <v>281</v>
      </c>
      <c r="M12" s="36" t="s">
        <v>281</v>
      </c>
      <c r="N12" s="36" t="s">
        <v>69</v>
      </c>
      <c r="O12" s="36" t="s">
        <v>279</v>
      </c>
      <c r="P12" s="36" t="s">
        <v>283</v>
      </c>
      <c r="Q12" s="36" t="s">
        <v>282</v>
      </c>
      <c r="R12" s="36" t="s">
        <v>282</v>
      </c>
    </row>
    <row r="13" spans="1:18" ht="37.5" customHeight="1">
      <c r="A13" s="26" t="s">
        <v>3</v>
      </c>
      <c r="B13" s="34" t="e">
        <f t="array" aca="1" ref="B13" ca="1">_xludf.XLOOKUP(A13,Images!$A:$A,Images!$C:$C,"")</f>
        <v>#NAME?</v>
      </c>
      <c r="C13" s="36" t="s">
        <v>171</v>
      </c>
      <c r="D13" s="36" t="s">
        <v>163</v>
      </c>
      <c r="E13" s="36" t="s">
        <v>257</v>
      </c>
      <c r="F13" s="36" t="s">
        <v>272</v>
      </c>
      <c r="G13" s="15" t="s">
        <v>113</v>
      </c>
      <c r="H13" s="36" t="s">
        <v>117</v>
      </c>
      <c r="I13" s="36" t="s">
        <v>289</v>
      </c>
      <c r="J13" s="36" t="s">
        <v>280</v>
      </c>
      <c r="K13" s="35" t="e">
        <f t="array" aca="1" ref="K13" ca="1">_xludf.XLOOKUP("Steel",Images!$A:$A,Images!$C:$C,"")</f>
        <v>#NAME?</v>
      </c>
      <c r="L13" s="36" t="s">
        <v>300</v>
      </c>
      <c r="M13" s="36" t="s">
        <v>302</v>
      </c>
      <c r="N13" s="36" t="s">
        <v>301</v>
      </c>
      <c r="O13" s="36" t="s">
        <v>295</v>
      </c>
      <c r="P13" s="36" t="s">
        <v>70</v>
      </c>
      <c r="Q13" s="36" t="s">
        <v>304</v>
      </c>
      <c r="R13" s="36" t="s">
        <v>303</v>
      </c>
    </row>
    <row r="14" spans="1:18" ht="37.5" customHeight="1">
      <c r="A14" s="26" t="s">
        <v>10</v>
      </c>
      <c r="B14" s="34" t="e">
        <f t="array" aca="1" ref="B14" ca="1">_xludf.XLOOKUP(A14,Images!$A:$A,Images!$C:$C,"")</f>
        <v>#NAME?</v>
      </c>
      <c r="C14" s="36" t="s">
        <v>244</v>
      </c>
      <c r="D14" s="36" t="s">
        <v>250</v>
      </c>
      <c r="E14" s="36" t="s">
        <v>166</v>
      </c>
      <c r="F14" s="36" t="s">
        <v>269</v>
      </c>
      <c r="G14" s="36" t="s">
        <v>264</v>
      </c>
      <c r="H14" s="36" t="s">
        <v>330</v>
      </c>
      <c r="I14" s="36" t="s">
        <v>290</v>
      </c>
      <c r="J14" s="36" t="s">
        <v>281</v>
      </c>
      <c r="K14" s="36" t="s">
        <v>300</v>
      </c>
      <c r="L14" s="35" t="s">
        <v>306</v>
      </c>
      <c r="M14" s="36" t="s">
        <v>306</v>
      </c>
      <c r="N14" s="36" t="s">
        <v>307</v>
      </c>
      <c r="O14" s="36" t="s">
        <v>296</v>
      </c>
      <c r="P14" s="36" t="s">
        <v>309</v>
      </c>
      <c r="Q14" s="36" t="s">
        <v>89</v>
      </c>
      <c r="R14" s="36" t="s">
        <v>308</v>
      </c>
    </row>
    <row r="15" spans="1:18" ht="37.5" customHeight="1">
      <c r="A15" s="26" t="s">
        <v>5</v>
      </c>
      <c r="B15" s="34" t="e">
        <f t="array" aca="1" ref="B15" ca="1">_xludf.XLOOKUP(A15,Images!$A:$A,Images!$C:$C,"")</f>
        <v>#NAME?</v>
      </c>
      <c r="C15" s="36" t="s">
        <v>132</v>
      </c>
      <c r="D15" s="36" t="s">
        <v>250</v>
      </c>
      <c r="E15" s="36" t="s">
        <v>258</v>
      </c>
      <c r="F15" s="36" t="s">
        <v>269</v>
      </c>
      <c r="G15" s="36" t="s">
        <v>266</v>
      </c>
      <c r="H15" s="37" t="s">
        <v>271</v>
      </c>
      <c r="I15" s="36" t="s">
        <v>292</v>
      </c>
      <c r="J15" s="36" t="s">
        <v>281</v>
      </c>
      <c r="K15" s="36" t="s">
        <v>302</v>
      </c>
      <c r="L15" s="36" t="s">
        <v>306</v>
      </c>
      <c r="M15" s="35" t="e">
        <f t="array" aca="1" ref="M15" ca="1">_xludf.XLOOKUP("Tooth",Images!$A:$A,Images!$C:$C,"")</f>
        <v>#NAME?</v>
      </c>
      <c r="N15" s="36" t="s">
        <v>307</v>
      </c>
      <c r="O15" s="36" t="s">
        <v>296</v>
      </c>
      <c r="P15" s="39" t="s">
        <v>309</v>
      </c>
      <c r="Q15" s="36" t="s">
        <v>89</v>
      </c>
      <c r="R15" s="36" t="s">
        <v>314</v>
      </c>
    </row>
    <row r="16" spans="1:18" ht="37.5" customHeight="1">
      <c r="A16" s="26" t="s">
        <v>9</v>
      </c>
      <c r="B16" s="34" t="e">
        <f t="array" aca="1" ref="B16" ca="1">_xludf.XLOOKUP(A16,Images!$A:$A,Images!$C:$C,"")</f>
        <v>#NAME?</v>
      </c>
      <c r="C16" s="36" t="s">
        <v>245</v>
      </c>
      <c r="D16" s="36" t="s">
        <v>251</v>
      </c>
      <c r="E16" s="36" t="s">
        <v>256</v>
      </c>
      <c r="F16" s="36" t="s">
        <v>273</v>
      </c>
      <c r="G16" s="36" t="s">
        <v>265</v>
      </c>
      <c r="H16" s="36" t="s">
        <v>285</v>
      </c>
      <c r="I16" s="36" t="s">
        <v>291</v>
      </c>
      <c r="J16" s="36" t="s">
        <v>69</v>
      </c>
      <c r="K16" s="36" t="s">
        <v>301</v>
      </c>
      <c r="L16" s="36" t="s">
        <v>307</v>
      </c>
      <c r="M16" s="36" t="s">
        <v>307</v>
      </c>
      <c r="N16" s="35" t="s">
        <v>310</v>
      </c>
      <c r="O16" s="36" t="s">
        <v>297</v>
      </c>
      <c r="P16" s="40" t="s">
        <v>312</v>
      </c>
      <c r="Q16" s="36" t="s">
        <v>313</v>
      </c>
      <c r="R16" s="36" t="s">
        <v>311</v>
      </c>
    </row>
    <row r="17" spans="1:18" ht="37.5" customHeight="1">
      <c r="A17" s="26" t="s">
        <v>11</v>
      </c>
      <c r="B17" s="34" t="e">
        <f t="array" aca="1" ref="B17" ca="1">_xludf.XLOOKUP(A17,Images!$A:$A,Images!$C:$C,"")</f>
        <v>#NAME?</v>
      </c>
      <c r="C17" s="37" t="s">
        <v>243</v>
      </c>
      <c r="D17" s="36" t="s">
        <v>249</v>
      </c>
      <c r="E17" s="36" t="s">
        <v>256</v>
      </c>
      <c r="F17" s="36" t="s">
        <v>271</v>
      </c>
      <c r="G17" s="36" t="s">
        <v>263</v>
      </c>
      <c r="H17" s="36" t="e">
        <f t="array" aca="1" ref="H17" ca="1">_xludf.XLOOKUP("Spirit",Images!$A:$A,Images!$C:$C,"")</f>
        <v>#NAME?</v>
      </c>
      <c r="I17" s="36" t="s">
        <v>66</v>
      </c>
      <c r="J17" s="36" t="s">
        <v>279</v>
      </c>
      <c r="K17" s="36" t="s">
        <v>295</v>
      </c>
      <c r="L17" s="36" t="s">
        <v>296</v>
      </c>
      <c r="M17" s="36" t="s">
        <v>296</v>
      </c>
      <c r="N17" s="36" t="s">
        <v>297</v>
      </c>
      <c r="O17" s="35" t="s">
        <v>294</v>
      </c>
      <c r="P17" s="38" t="s">
        <v>298</v>
      </c>
      <c r="Q17" s="36" t="s">
        <v>299</v>
      </c>
      <c r="R17" s="36" t="s">
        <v>211</v>
      </c>
    </row>
    <row r="18" spans="1:18" ht="37.5" customHeight="1">
      <c r="A18" s="26" t="s">
        <v>8</v>
      </c>
      <c r="B18" s="34" t="e">
        <f t="array" aca="1" ref="B18" ca="1">_xludf.XLOOKUP(A18,Images!$A:$A,Images!$C:$C,"")</f>
        <v>#NAME?</v>
      </c>
      <c r="C18" s="36" t="s">
        <v>247</v>
      </c>
      <c r="D18" s="36" t="s">
        <v>252</v>
      </c>
      <c r="E18" s="38" t="s">
        <v>260</v>
      </c>
      <c r="F18" s="36" t="s">
        <v>275</v>
      </c>
      <c r="G18" s="36" t="s">
        <v>268</v>
      </c>
      <c r="H18" s="36" t="s">
        <v>287</v>
      </c>
      <c r="I18" s="36" t="s">
        <v>293</v>
      </c>
      <c r="J18" s="36" t="s">
        <v>283</v>
      </c>
      <c r="K18" s="36" t="s">
        <v>70</v>
      </c>
      <c r="L18" s="36" t="s">
        <v>309</v>
      </c>
      <c r="M18" s="38" t="s">
        <v>309</v>
      </c>
      <c r="N18" s="36" t="s">
        <v>312</v>
      </c>
      <c r="O18" s="38" t="s">
        <v>298</v>
      </c>
      <c r="P18" s="35" t="s">
        <v>317</v>
      </c>
      <c r="Q18" s="13" t="s">
        <v>84</v>
      </c>
      <c r="R18" s="41" t="s">
        <v>316</v>
      </c>
    </row>
    <row r="19" spans="1:18" ht="37.5" customHeight="1">
      <c r="A19" s="26" t="s">
        <v>6</v>
      </c>
      <c r="B19" s="34" t="e">
        <f t="array" aca="1" ref="B19" ca="1">_xludf.XLOOKUP(A19,Images!$A:$A,Images!$C:$C,"")</f>
        <v>#NAME?</v>
      </c>
      <c r="C19" s="36" t="s">
        <v>246</v>
      </c>
      <c r="D19" s="36" t="s">
        <v>253</v>
      </c>
      <c r="E19" s="36" t="s">
        <v>188</v>
      </c>
      <c r="F19" s="36" t="s">
        <v>276</v>
      </c>
      <c r="G19" s="40" t="s">
        <v>267</v>
      </c>
      <c r="H19" s="36" t="s">
        <v>288</v>
      </c>
      <c r="I19" s="36" t="s">
        <v>78</v>
      </c>
      <c r="J19" s="36" t="s">
        <v>282</v>
      </c>
      <c r="K19" s="36" t="s">
        <v>304</v>
      </c>
      <c r="L19" s="36" t="s">
        <v>89</v>
      </c>
      <c r="M19" s="36" t="s">
        <v>89</v>
      </c>
      <c r="N19" s="36" t="s">
        <v>313</v>
      </c>
      <c r="O19" s="36" t="s">
        <v>299</v>
      </c>
      <c r="P19" s="13" t="s">
        <v>84</v>
      </c>
      <c r="Q19" s="35" t="s">
        <v>315</v>
      </c>
      <c r="R19" s="13" t="s">
        <v>315</v>
      </c>
    </row>
    <row r="20" spans="1:18" ht="37.5" customHeight="1">
      <c r="A20" s="26" t="s">
        <v>13</v>
      </c>
      <c r="B20" s="34" t="e">
        <f t="array" aca="1" ref="B20" ca="1">_xludf.XLOOKUP(A20,Images!$A:$A,Images!$C:$C,"")</f>
        <v>#NAME?</v>
      </c>
      <c r="C20" s="36" t="s">
        <v>246</v>
      </c>
      <c r="D20" s="36" t="s">
        <v>182</v>
      </c>
      <c r="E20" s="36" t="s">
        <v>259</v>
      </c>
      <c r="F20" s="36" t="s">
        <v>274</v>
      </c>
      <c r="G20" s="36" t="s">
        <v>267</v>
      </c>
      <c r="H20" s="36" t="s">
        <v>286</v>
      </c>
      <c r="I20" s="36" t="s">
        <v>288</v>
      </c>
      <c r="J20" s="36" t="s">
        <v>282</v>
      </c>
      <c r="K20" s="36" t="s">
        <v>303</v>
      </c>
      <c r="L20" s="36" t="s">
        <v>308</v>
      </c>
      <c r="M20" s="36" t="s">
        <v>314</v>
      </c>
      <c r="N20" s="36" t="s">
        <v>311</v>
      </c>
      <c r="O20" s="36" t="s">
        <v>211</v>
      </c>
      <c r="P20" s="13" t="s">
        <v>316</v>
      </c>
      <c r="Q20" s="13" t="s">
        <v>315</v>
      </c>
      <c r="R20" s="35" t="s">
        <v>315</v>
      </c>
    </row>
  </sheetData>
  <mergeCells count="1">
    <mergeCell ref="A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48"/>
  <sheetViews>
    <sheetView showGridLines="0" workbookViewId="0"/>
  </sheetViews>
  <sheetFormatPr defaultColWidth="12.6640625" defaultRowHeight="15.75" customHeight="1"/>
  <cols>
    <col min="1" max="26" width="6.33203125" customWidth="1"/>
  </cols>
  <sheetData>
    <row r="1" spans="1:26" ht="37.5" customHeight="1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7.5" customHeight="1">
      <c r="A2" s="43"/>
      <c r="B2" s="68" t="s">
        <v>237</v>
      </c>
      <c r="C2" s="69"/>
      <c r="D2" s="69"/>
      <c r="E2" s="69"/>
      <c r="F2" s="69"/>
      <c r="G2" s="69"/>
      <c r="H2" s="69"/>
      <c r="I2" s="65"/>
      <c r="J2" s="44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37.5" customHeight="1">
      <c r="A3" s="43"/>
      <c r="B3" s="42" t="s">
        <v>15</v>
      </c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37.5" customHeight="1">
      <c r="A4" s="43"/>
      <c r="B4" s="75" t="s">
        <v>355</v>
      </c>
      <c r="C4" s="69"/>
      <c r="D4" s="69"/>
      <c r="E4" s="69"/>
      <c r="F4" s="69"/>
      <c r="G4" s="69"/>
      <c r="H4" s="69"/>
      <c r="I4" s="65"/>
      <c r="J4" s="43"/>
      <c r="K4" s="43"/>
      <c r="L4" s="76" t="s">
        <v>356</v>
      </c>
      <c r="M4" s="69"/>
      <c r="N4" s="69"/>
      <c r="O4" s="69"/>
      <c r="P4" s="65"/>
      <c r="Q4" s="43"/>
      <c r="R4" s="75" t="s">
        <v>355</v>
      </c>
      <c r="S4" s="69"/>
      <c r="T4" s="69"/>
      <c r="U4" s="69"/>
      <c r="V4" s="69"/>
      <c r="W4" s="69"/>
      <c r="X4" s="69"/>
      <c r="Y4" s="65"/>
      <c r="Z4" s="43"/>
    </row>
    <row r="5" spans="1:26" ht="37.5" customHeight="1">
      <c r="A5" s="43"/>
      <c r="B5" s="73" t="str">
        <f ca="1">IFERROR(IF('Ingredient List'!B3="","",HYPERLINK("https://docs.google.com/spreadsheets/d/1o95Ipwx6NIyFV3LCz9LGNbH9_WELHF-pbpkM31YwXyY/edit#gid=0&amp;range=B" &amp; 'Ingredient List'!K3,VLOOKUP('Ingredient List'!B3,Images!$A:$C,3,FALSE))),'Ingredient List'!B3)</f>
        <v/>
      </c>
      <c r="C5" s="65"/>
      <c r="D5" s="73" t="str">
        <f ca="1">IFERROR(IF('Ingredient List'!D3="","",HYPERLINK("https://docs.google.com/spreadsheets/d/1o95Ipwx6NIyFV3LCz9LGNbH9_WELHF-pbpkM31YwXyY/edit#gid=0&amp;range=B" &amp; 'Ingredient List'!M3,VLOOKUP('Ingredient List'!D3,Images!$A:$C,3,FALSE))),'Ingredient List'!D3)</f>
        <v/>
      </c>
      <c r="E5" s="65"/>
      <c r="F5" s="73" t="str">
        <f ca="1">IFERROR(IF('Ingredient List'!F3="","",HYPERLINK("https://docs.google.com/spreadsheets/d/1o95Ipwx6NIyFV3LCz9LGNbH9_WELHF-pbpkM31YwXyY/edit#gid=0&amp;range=B" &amp; 'Ingredient List'!O3,VLOOKUP('Ingredient List'!F3,Images!$A:$C,3,FALSE))),'Ingredient List'!F3)</f>
        <v/>
      </c>
      <c r="G5" s="65"/>
      <c r="H5" s="73" t="str">
        <f ca="1">IFERROR(IF('Ingredient List'!H3="","",HYPERLINK("https://docs.google.com/spreadsheets/d/1o95Ipwx6NIyFV3LCz9LGNbH9_WELHF-pbpkM31YwXyY/edit#gid=0&amp;range=B" &amp; 'Ingredient List'!Q3,VLOOKUP('Ingredient List'!H3,Images!$A:$C,3,FALSE))),'Ingredient List'!H3)</f>
        <v/>
      </c>
      <c r="I5" s="65"/>
      <c r="J5" s="71"/>
      <c r="K5" s="72"/>
      <c r="L5" s="45" t="str">
        <f ca="1">IFERROR(VLOOKUP("Leaf",Images!$A:$C,3,FALSE),R12)</f>
        <v>Leaf</v>
      </c>
      <c r="M5" s="46" t="s">
        <v>357</v>
      </c>
      <c r="N5" s="45" t="str">
        <f ca="1">IFERROR(VLOOKUP("Sand",Images!$A:$C,3,FALSE),T12)</f>
        <v>+</v>
      </c>
      <c r="O5" s="46" t="s">
        <v>358</v>
      </c>
      <c r="P5" s="45">
        <f ca="1">IFERROR(VLOOKUP("Water",Images!$A:$C,3,FALSE),V12)</f>
        <v>0</v>
      </c>
      <c r="Q5" s="43"/>
      <c r="R5" s="77" t="str">
        <f ca="1">IF('Ingredient List'!B3="","",HYPERLINK("https://docs.google.com/spreadsheets/d/1o95Ipwx6NIyFV3LCz9LGNbH9_WELHF-pbpkM31YwXyY/edit#gid=0&amp;range=B" &amp; 'Ingredient List'!K3,'Ingredient List'!B3))</f>
        <v>Leaf</v>
      </c>
      <c r="S5" s="65"/>
      <c r="T5" s="77" t="str">
        <f ca="1">IF('Ingredient List'!D3="","",HYPERLINK("https://docs.google.com/spreadsheets/d/1o95Ipwx6NIyFV3LCz9LGNbH9_WELHF-pbpkM31YwXyY/edit#gid=0&amp;range=B" &amp; 'Ingredient List'!M3,'Ingredient List'!D3))</f>
        <v>Sand</v>
      </c>
      <c r="U5" s="65"/>
      <c r="V5" s="77" t="str">
        <f ca="1">IF('Ingredient List'!F3="","",HYPERLINK("https://docs.google.com/spreadsheets/d/1o95Ipwx6NIyFV3LCz9LGNbH9_WELHF-pbpkM31YwXyY/edit#gid=0&amp;range=B" &amp; 'Ingredient List'!O3,'Ingredient List'!F3))</f>
        <v>Water</v>
      </c>
      <c r="W5" s="65"/>
      <c r="X5" s="77" t="str">
        <f ca="1">IF('Ingredient List'!H3="","",HYPERLINK("https://docs.google.com/spreadsheets/d/1o95Ipwx6NIyFV3LCz9LGNbH9_WELHF-pbpkM31YwXyY/edit#gid=0&amp;range=B" &amp; 'Ingredient List'!Q3,'Ingredient List'!H3))</f>
        <v>Lightning</v>
      </c>
      <c r="Y5" s="65"/>
      <c r="Z5" s="43"/>
    </row>
    <row r="6" spans="1:26" ht="37.5" customHeight="1">
      <c r="A6" s="43"/>
      <c r="B6" s="73" t="str">
        <f ca="1">IFERROR(IF('Ingredient List'!B4="","",HYPERLINK("https://docs.google.com/spreadsheets/d/1o95Ipwx6NIyFV3LCz9LGNbH9_WELHF-pbpkM31YwXyY/edit#gid=0&amp;range=B" &amp; 'Ingredient List'!K4,VLOOKUP('Ingredient List'!B4,Images!$A:$C,3,FALSE))),'Ingredient List'!B4)</f>
        <v/>
      </c>
      <c r="C6" s="65"/>
      <c r="D6" s="73" t="str">
        <f ca="1">IFERROR(IF('Ingredient List'!D4="","",HYPERLINK("https://docs.google.com/spreadsheets/d/1o95Ipwx6NIyFV3LCz9LGNbH9_WELHF-pbpkM31YwXyY/edit#gid=0&amp;range=B" &amp; 'Ingredient List'!M4,VLOOKUP('Ingredient List'!D4,Images!$A:$C,3,FALSE))),'Ingredient List'!D4)</f>
        <v/>
      </c>
      <c r="E6" s="65"/>
      <c r="F6" s="73" t="str">
        <f ca="1">IFERROR(IF('Ingredient List'!F4="","",HYPERLINK("https://docs.google.com/spreadsheets/d/1o95Ipwx6NIyFV3LCz9LGNbH9_WELHF-pbpkM31YwXyY/edit#gid=0&amp;range=B" &amp; 'Ingredient List'!O4,VLOOKUP('Ingredient List'!F4,Images!$A:$C,3,FALSE))),'Ingredient List'!F4)</f>
        <v/>
      </c>
      <c r="G6" s="65"/>
      <c r="H6" s="73" t="str">
        <f ca="1">IFERROR(IF('Ingredient List'!H4="","",HYPERLINK("https://docs.google.com/spreadsheets/d/1o95Ipwx6NIyFV3LCz9LGNbH9_WELHF-pbpkM31YwXyY/edit#gid=0&amp;range=B" &amp; 'Ingredient List'!Q4,VLOOKUP('Ingredient List'!H4,Images!$A:$C,3,FALSE))),'Ingredient List'!H4)</f>
        <v/>
      </c>
      <c r="I6" s="65"/>
      <c r="J6" s="43"/>
      <c r="K6" s="43"/>
      <c r="L6" s="45" t="str">
        <f ca="1">IFERROR(VLOOKUP("Leaf",Images!$A:$C,3,FALSE),R13)</f>
        <v>Leaf</v>
      </c>
      <c r="M6" s="46" t="s">
        <v>357</v>
      </c>
      <c r="N6" s="45" t="str">
        <f ca="1">IFERROR(VLOOKUP("Water",Images!$A:$C,3,FALSE),T13)</f>
        <v>+</v>
      </c>
      <c r="O6" s="46" t="s">
        <v>358</v>
      </c>
      <c r="P6" s="45">
        <f ca="1">IFERROR(VLOOKUP("Lightning",Images!$A:$C,3,FALSE),V13)</f>
        <v>0</v>
      </c>
      <c r="Q6" s="43"/>
      <c r="R6" s="77" t="str">
        <f ca="1">IF('Ingredient List'!B4="","",HYPERLINK("https://docs.google.com/spreadsheets/d/1o95Ipwx6NIyFV3LCz9LGNbH9_WELHF-pbpkM31YwXyY/edit#gid=0&amp;range=B" &amp; 'Ingredient List'!K4,'Ingredient List'!B4))</f>
        <v>Poison</v>
      </c>
      <c r="S6" s="65"/>
      <c r="T6" s="77" t="str">
        <f ca="1">IF('Ingredient List'!D4="","",HYPERLINK("https://docs.google.com/spreadsheets/d/1o95Ipwx6NIyFV3LCz9LGNbH9_WELHF-pbpkM31YwXyY/edit#gid=0&amp;range=B" &amp; 'Ingredient List'!M4,'Ingredient List'!D4))</f>
        <v>Beetle</v>
      </c>
      <c r="U6" s="65"/>
      <c r="V6" s="73" t="str">
        <f ca="1">IF('Ingredient List'!F4="","",HYPERLINK("https://docs.google.com/spreadsheets/d/1o95Ipwx6NIyFV3LCz9LGNbH9_WELHF-pbpkM31YwXyY/edit#gid=0&amp;range=B" &amp; 'Ingredient List'!O4,'Ingredient List'!F4))</f>
        <v>Tooth</v>
      </c>
      <c r="W6" s="65"/>
      <c r="X6" s="73" t="str">
        <f ca="1">IF('Ingredient List'!H4="","",HYPERLINK("https://docs.google.com/spreadsheets/d/1o95Ipwx6NIyFV3LCz9LGNbH9_WELHF-pbpkM31YwXyY/edit#gid=0&amp;range=B" &amp; 'Ingredient List'!Q4,'Ingredient List'!H4))</f>
        <v>Flame</v>
      </c>
      <c r="Y6" s="65"/>
      <c r="Z6" s="43"/>
    </row>
    <row r="7" spans="1:26" ht="37.5" customHeight="1">
      <c r="A7" s="43"/>
      <c r="B7" s="73" t="str">
        <f ca="1">IFERROR(IF('Ingredient List'!B5="","",HYPERLINK("https://docs.google.com/spreadsheets/d/1o95Ipwx6NIyFV3LCz9LGNbH9_WELHF-pbpkM31YwXyY/edit#gid=0&amp;range=B" &amp; 'Ingredient List'!K5,VLOOKUP('Ingredient List'!B5,Images!$A:$C,3,FALSE))),'Ingredient List'!B5)</f>
        <v/>
      </c>
      <c r="C7" s="65"/>
      <c r="D7" s="73" t="str">
        <f ca="1">IFERROR(IF('Ingredient List'!D5="","",HYPERLINK("https://docs.google.com/spreadsheets/d/1o95Ipwx6NIyFV3LCz9LGNbH9_WELHF-pbpkM31YwXyY/edit#gid=0&amp;range=B" &amp; 'Ingredient List'!M5,VLOOKUP('Ingredient List'!D5,Images!$A:$C,3,FALSE))),'Ingredient List'!D5)</f>
        <v/>
      </c>
      <c r="E7" s="65"/>
      <c r="F7" s="73" t="str">
        <f ca="1">IFERROR(IF('Ingredient List'!F5="","",HYPERLINK("https://docs.google.com/spreadsheets/d/1o95Ipwx6NIyFV3LCz9LGNbH9_WELHF-pbpkM31YwXyY/edit#gid=0&amp;range=B" &amp; 'Ingredient List'!O5,VLOOKUP('Ingredient List'!F5,Images!$A:$C,3,FALSE))),'Ingredient List'!F5)</f>
        <v/>
      </c>
      <c r="G7" s="65"/>
      <c r="H7" s="73" t="str">
        <f ca="1">IFERROR(IF('Ingredient List'!H5="","",HYPERLINK("https://docs.google.com/spreadsheets/d/1o95Ipwx6NIyFV3LCz9LGNbH9_WELHF-pbpkM31YwXyY/edit#gid=0&amp;range=B" &amp; 'Ingredient List'!Q5,VLOOKUP('Ingredient List'!H5,Images!$A:$C,3,FALSE))),'Ingredient List'!H5)</f>
        <v/>
      </c>
      <c r="I7" s="65"/>
      <c r="J7" s="43"/>
      <c r="K7" s="43"/>
      <c r="L7" s="45" t="str">
        <f ca="1">IFERROR(VLOOKUP("Leaf",Images!$A:$C,3,FALSE),R14)</f>
        <v>Leaf</v>
      </c>
      <c r="M7" s="46" t="s">
        <v>357</v>
      </c>
      <c r="N7" s="45" t="str">
        <f ca="1">IFERROR(VLOOKUP("Lightning",Images!$A:$C,3,FALSE),T14)</f>
        <v>+</v>
      </c>
      <c r="O7" s="46" t="s">
        <v>358</v>
      </c>
      <c r="P7" s="45">
        <f ca="1">IFERROR(VLOOKUP("Beetle",Images!$A:$C,3,FALSE),V14)</f>
        <v>0</v>
      </c>
      <c r="Q7" s="43"/>
      <c r="R7" s="73" t="str">
        <f ca="1">IF('Ingredient List'!B5="","",HYPERLINK("https://docs.google.com/spreadsheets/d/1o95Ipwx6NIyFV3LCz9LGNbH9_WELHF-pbpkM31YwXyY/edit#gid=0&amp;range=B" &amp; 'Ingredient List'!K5,'Ingredient List'!B5))</f>
        <v>Steel</v>
      </c>
      <c r="S7" s="65"/>
      <c r="T7" s="73" t="str">
        <f ca="1">IF('Ingredient List'!D5="","",HYPERLINK("https://docs.google.com/spreadsheets/d/1o95Ipwx6NIyFV3LCz9LGNbH9_WELHF-pbpkM31YwXyY/edit#gid=0&amp;range=B" &amp; 'Ingredient List'!M5,'Ingredient List'!D5))</f>
        <v>Scale</v>
      </c>
      <c r="U7" s="65"/>
      <c r="V7" s="73" t="str">
        <f ca="1">IF('Ingredient List'!F5="","",HYPERLINK("https://docs.google.com/spreadsheets/d/1o95Ipwx6NIyFV3LCz9LGNbH9_WELHF-pbpkM31YwXyY/edit#gid=0&amp;range=B" &amp; 'Ingredient List'!O5,'Ingredient List'!F5))</f>
        <v>Essence</v>
      </c>
      <c r="W7" s="65"/>
      <c r="X7" s="73" t="str">
        <f ca="1">IF('Ingredient List'!H5="","",HYPERLINK("https://docs.google.com/spreadsheets/d/1o95Ipwx6NIyFV3LCz9LGNbH9_WELHF-pbpkM31YwXyY/edit#gid=0&amp;range=B" &amp; 'Ingredient List'!Q5,'Ingredient List'!H5))</f>
        <v>Power</v>
      </c>
      <c r="Y7" s="65"/>
      <c r="Z7" s="43"/>
    </row>
    <row r="8" spans="1:26" ht="37.5" customHeight="1">
      <c r="A8" s="43"/>
      <c r="B8" s="73" t="str">
        <f ca="1">IFERROR(IF('Ingredient List'!B6="","",HYPERLINK("https://docs.google.com/spreadsheets/d/1o95Ipwx6NIyFV3LCz9LGNbH9_WELHF-pbpkM31YwXyY/edit#gid=0&amp;range=B" &amp; 'Ingredient List'!K6,VLOOKUP('Ingredient List'!B6,Images!$A:$C,3,FALSE))),'Ingredient List'!B6)</f>
        <v/>
      </c>
      <c r="C8" s="65"/>
      <c r="D8" s="73" t="str">
        <f ca="1">IFERROR(IF('Ingredient List'!D6="","",HYPERLINK("https://docs.google.com/spreadsheets/d/1o95Ipwx6NIyFV3LCz9LGNbH9_WELHF-pbpkM31YwXyY/edit#gid=0&amp;range=B" &amp; 'Ingredient List'!M6,VLOOKUP('Ingredient List'!D6,Images!$A:$C,3,FALSE))),'Ingredient List'!D6)</f>
        <v/>
      </c>
      <c r="E8" s="65"/>
      <c r="F8" s="74" t="str">
        <f>IFERROR(IF('Ingredient List'!F6="","",HYPERLINK("https://docs.google.com/spreadsheets/d/1o95Ipwx6NIyFV3LCz9LGNbH9_WELHF-pbpkM31YwXyY/edit#gid=0&amp;range=B" &amp; 'Ingredient List'!O6,VLOOKUP('Ingredient List'!F6,Images!$A:$C,3,FALSE))),'Ingredient List'!F6)</f>
        <v/>
      </c>
      <c r="G8" s="65"/>
      <c r="H8" s="74" t="str">
        <f>IFERROR(IF('Ingredient List'!H6="","",HYPERLINK("https://docs.google.com/spreadsheets/d/1o95Ipwx6NIyFV3LCz9LGNbH9_WELHF-pbpkM31YwXyY/edit#gid=0&amp;range=B" &amp; 'Ingredient List'!Q6,VLOOKUP('Ingredient List'!H6,Images!$A:$C,3,FALSE))),'Ingredient List'!H6)</f>
        <v/>
      </c>
      <c r="I8" s="65"/>
      <c r="J8" s="43"/>
      <c r="K8" s="43"/>
      <c r="L8" s="45" t="str">
        <f ca="1">IFERROR(VLOOKUP("Sand",Images!$A:$C,3,FALSE),R15)</f>
        <v>Leaf</v>
      </c>
      <c r="M8" s="46" t="s">
        <v>357</v>
      </c>
      <c r="N8" s="45" t="str">
        <f ca="1">IFERROR(VLOOKUP("Lightning",Images!$A:$C,3,FALSE),T15)</f>
        <v>+</v>
      </c>
      <c r="O8" s="46" t="s">
        <v>358</v>
      </c>
      <c r="P8" s="45">
        <f ca="1">IFERROR(VLOOKUP("Poison",Images!$A:$C,3,FALSE),V15)</f>
        <v>0</v>
      </c>
      <c r="Q8" s="43"/>
      <c r="R8" s="73" t="str">
        <f ca="1">IF('Ingredient List'!B6="","",HYPERLINK("https://docs.google.com/spreadsheets/d/1o95Ipwx6NIyFV3LCz9LGNbH9_WELHF-pbpkM31YwXyY/edit#gid=0&amp;range=B" &amp; 'Ingredient List'!K6,'Ingredient List'!B6))</f>
        <v>Shadow</v>
      </c>
      <c r="S8" s="65"/>
      <c r="T8" s="73" t="str">
        <f ca="1">IF('Ingredient List'!D6="","",HYPERLINK("https://docs.google.com/spreadsheets/d/1o95Ipwx6NIyFV3LCz9LGNbH9_WELHF-pbpkM31YwXyY/edit#gid=0&amp;range=B" &amp; 'Ingredient List'!M6,'Ingredient List'!D6))</f>
        <v>Spirit</v>
      </c>
      <c r="U8" s="65"/>
      <c r="V8" s="74" t="str">
        <f>IF('Ingredient List'!F6="","",HYPERLINK("https://docs.google.com/spreadsheets/d/1o95Ipwx6NIyFV3LCz9LGNbH9_WELHF-pbpkM31YwXyY/edit#gid=0&amp;range=B" &amp; 'Ingredient List'!O6,'Ingredient List'!F6))</f>
        <v/>
      </c>
      <c r="W8" s="65"/>
      <c r="X8" s="74" t="str">
        <f>IF('Ingredient List'!H6="","",HYPERLINK("https://docs.google.com/spreadsheets/d/1o95Ipwx6NIyFV3LCz9LGNbH9_WELHF-pbpkM31YwXyY/edit#gid=0&amp;range=B" &amp; 'Ingredient List'!Q6,'Ingredient List'!H6))</f>
        <v/>
      </c>
      <c r="Y8" s="65"/>
      <c r="Z8" s="43"/>
    </row>
    <row r="9" spans="1:26" ht="37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5" t="str">
        <f ca="1">IFERROR(VLOOKUP("Water",Images!$A:$C,3,FALSE),R16)</f>
        <v>Leaf</v>
      </c>
      <c r="M9" s="46" t="s">
        <v>357</v>
      </c>
      <c r="N9" s="45" t="str">
        <f ca="1">IFERROR(VLOOKUP("Beetle",Images!$A:$C,3,FALSE),T16)</f>
        <v>+</v>
      </c>
      <c r="O9" s="46" t="s">
        <v>358</v>
      </c>
      <c r="P9" s="45">
        <f ca="1">IFERROR(VLOOKUP("Tooth",Images!$A:$C,3,FALSE),V16)</f>
        <v>0</v>
      </c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37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5" t="str">
        <f ca="1">IFERROR(VLOOKUP("Lightning",Images!$A:$C,3,FALSE),R17)</f>
        <v>Leaf</v>
      </c>
      <c r="M10" s="46" t="s">
        <v>357</v>
      </c>
      <c r="N10" s="45" t="str">
        <f ca="1">IFERROR(VLOOKUP("Poison",Images!$A:$C,3,FALSE),T17)</f>
        <v>+</v>
      </c>
      <c r="O10" s="46" t="s">
        <v>358</v>
      </c>
      <c r="P10" s="45">
        <f ca="1">IFERROR(VLOOKUP("Flame",Images!$A:$C,3,FALSE),V17)</f>
        <v>0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37.5" customHeight="1">
      <c r="A11" s="43"/>
      <c r="B11" s="68" t="str">
        <f>R11</f>
        <v>Leaf Recipes</v>
      </c>
      <c r="C11" s="69"/>
      <c r="D11" s="69"/>
      <c r="E11" s="69"/>
      <c r="F11" s="69"/>
      <c r="G11" s="69"/>
      <c r="H11" s="69"/>
      <c r="I11" s="65"/>
      <c r="J11" s="43"/>
      <c r="K11" s="43"/>
      <c r="L11" s="45" t="str">
        <f ca="1">IFERROR(VLOOKUP("Lightning",Images!$A:$C,3,FALSE),R18)</f>
        <v>Leaf</v>
      </c>
      <c r="M11" s="46" t="s">
        <v>357</v>
      </c>
      <c r="N11" s="45" t="str">
        <f ca="1">IFERROR(VLOOKUP("Beetle",Images!$A:$C,3,FALSE),T18)</f>
        <v>+</v>
      </c>
      <c r="O11" s="46" t="s">
        <v>358</v>
      </c>
      <c r="P11" s="45">
        <f ca="1">IFERROR(VLOOKUP("Steel",Images!$A:$C,3,FALSE),V18)</f>
        <v>0</v>
      </c>
      <c r="Q11" s="43"/>
      <c r="R11" s="68" t="str">
        <f>R12 &amp; " Recipes"</f>
        <v>Leaf Recipes</v>
      </c>
      <c r="S11" s="69"/>
      <c r="T11" s="69"/>
      <c r="U11" s="69"/>
      <c r="V11" s="69"/>
      <c r="W11" s="69"/>
      <c r="X11" s="69"/>
      <c r="Y11" s="65"/>
      <c r="Z11" s="43"/>
    </row>
    <row r="12" spans="1:26" ht="37.5" customHeight="1">
      <c r="A12" s="43"/>
      <c r="B12" s="66" t="str">
        <f ca="1">IFERROR(VLOOKUP(R12,Images!$A:$C,3,FALSE),R12)</f>
        <v>Leaf</v>
      </c>
      <c r="C12" s="65"/>
      <c r="D12" s="46" t="s">
        <v>357</v>
      </c>
      <c r="E12" s="66" t="str">
        <f ca="1">IFERROR(VLOOKUP(U12,Images!$A:$C,3,FALSE),"")</f>
        <v/>
      </c>
      <c r="F12" s="65"/>
      <c r="G12" s="46" t="s">
        <v>358</v>
      </c>
      <c r="H12" s="64" t="str">
        <f ca="1">IFERROR(VLOOKUP(X12,Images!$A:$C,3,FALSE),X12)</f>
        <v/>
      </c>
      <c r="I12" s="65"/>
      <c r="J12" s="43"/>
      <c r="K12" s="43"/>
      <c r="L12" s="45" t="str">
        <f ca="1">IFERROR(VLOOKUP("Tooth",Images!$A:$C,3,FALSE),R19)</f>
        <v>Leaf</v>
      </c>
      <c r="M12" s="46" t="s">
        <v>357</v>
      </c>
      <c r="N12" s="45" t="str">
        <f ca="1">IFERROR(VLOOKUP("Flame",Images!$A:$C,3,FALSE),T19)</f>
        <v>+</v>
      </c>
      <c r="O12" s="46" t="s">
        <v>358</v>
      </c>
      <c r="P12" s="45">
        <f ca="1">IFERROR(VLOOKUP("Scale",Images!$A:$C,3,FALSE),V19)</f>
        <v>0</v>
      </c>
      <c r="Q12" s="43"/>
      <c r="R12" s="66" t="str">
        <f>Images!$A$2</f>
        <v>Leaf</v>
      </c>
      <c r="S12" s="65"/>
      <c r="T12" s="46" t="s">
        <v>357</v>
      </c>
      <c r="U12" s="66" t="str">
        <f>Images!$A$2</f>
        <v>Leaf</v>
      </c>
      <c r="V12" s="65"/>
      <c r="W12" s="46" t="s">
        <v>358</v>
      </c>
      <c r="X12" s="70" t="str">
        <f t="array" aca="1" ref="X12" ca="1">IFERROR(INDEX('5.29 Recipe Matrix (Unsorted)'!$C$5:$P$18,MATCH(R12,'5.29 Recipe Matrix (Unsorted)'!$A$5:$A$18,0),MATCH(U12,'5.29 Recipe Matrix (Unsorted)'!$C$3:$P$3,0)),"")</f>
        <v/>
      </c>
      <c r="Y12" s="65"/>
      <c r="Z12" s="43"/>
    </row>
    <row r="13" spans="1:26" ht="37.5" customHeight="1">
      <c r="A13" s="43"/>
      <c r="B13" s="66" t="str">
        <f ca="1">IFERROR(VLOOKUP(R13,Images!$A:$C,3,FALSE),R13)</f>
        <v>Leaf</v>
      </c>
      <c r="C13" s="65"/>
      <c r="D13" s="46" t="s">
        <v>357</v>
      </c>
      <c r="E13" s="66" t="str">
        <f ca="1">IFERROR(VLOOKUP(U13,Images!$A:$C,3,FALSE),"")</f>
        <v/>
      </c>
      <c r="F13" s="65"/>
      <c r="G13" s="46" t="s">
        <v>358</v>
      </c>
      <c r="H13" s="64" t="str">
        <f>IFERROR(VLOOKUP(X13,Images!$A:$C,3,FALSE),X13)</f>
        <v/>
      </c>
      <c r="I13" s="65"/>
      <c r="J13" s="43"/>
      <c r="K13" s="43"/>
      <c r="L13" s="45" t="str">
        <f ca="1">IFERROR(VLOOKUP("Tooth",Images!$A:$C,3,FALSE),R20)</f>
        <v>Leaf</v>
      </c>
      <c r="M13" s="46" t="s">
        <v>357</v>
      </c>
      <c r="N13" s="45" t="str">
        <f ca="1">IFERROR(VLOOKUP("Steel",Images!$A:$C,3,FALSE),T20)</f>
        <v>+</v>
      </c>
      <c r="O13" s="46" t="s">
        <v>358</v>
      </c>
      <c r="P13" s="45">
        <f ca="1">IFERROR(VLOOKUP("Essence",Images!$A:$C,3,FALSE),V20)</f>
        <v>0</v>
      </c>
      <c r="Q13" s="43"/>
      <c r="R13" s="66" t="str">
        <f t="shared" ref="R13:R25" si="0">R12</f>
        <v>Leaf</v>
      </c>
      <c r="S13" s="65"/>
      <c r="T13" s="46" t="s">
        <v>357</v>
      </c>
      <c r="U13" s="66" t="str">
        <f>Images!$A$3</f>
        <v>Sand</v>
      </c>
      <c r="V13" s="65"/>
      <c r="W13" s="46" t="s">
        <v>358</v>
      </c>
      <c r="X13" s="70" t="str">
        <f t="array" ref="X13">IFERROR(INDEX('5.29 Recipe Matrix (Unsorted)'!$C$5:$P$18,MATCH(R13,'5.29 Recipe Matrix (Unsorted)'!$A$5:$A$18,0),MATCH(U13,'5.29 Recipe Matrix (Unsorted)'!$C$3:$P$3,0)),"")</f>
        <v/>
      </c>
      <c r="Y13" s="65"/>
      <c r="Z13" s="43"/>
    </row>
    <row r="14" spans="1:26" ht="37.5" customHeight="1">
      <c r="A14" s="43"/>
      <c r="B14" s="66" t="str">
        <f ca="1">IFERROR(VLOOKUP(R14,Images!$A:$C,3,FALSE),R14)</f>
        <v>Leaf</v>
      </c>
      <c r="C14" s="65"/>
      <c r="D14" s="46" t="s">
        <v>357</v>
      </c>
      <c r="E14" s="66" t="str">
        <f ca="1">IFERROR(VLOOKUP(U14,Images!$A:$C,3,FALSE),"")</f>
        <v/>
      </c>
      <c r="F14" s="65"/>
      <c r="G14" s="46" t="s">
        <v>358</v>
      </c>
      <c r="H14" s="64" t="str">
        <f>IFERROR(VLOOKUP(X14,Images!$A:$C,3,FALSE),X14)</f>
        <v>2 Perks</v>
      </c>
      <c r="I14" s="65"/>
      <c r="J14" s="43"/>
      <c r="K14" s="43"/>
      <c r="L14" s="45" t="str">
        <f ca="1">IFERROR(VLOOKUP("Flame",Images!$A:$C,3,FALSE),R21)</f>
        <v>Leaf</v>
      </c>
      <c r="M14" s="46" t="s">
        <v>357</v>
      </c>
      <c r="N14" s="45" t="str">
        <f ca="1">IFERROR(VLOOKUP("Steel",Images!$A:$C,3,FALSE),T21)</f>
        <v>+</v>
      </c>
      <c r="O14" s="46" t="s">
        <v>358</v>
      </c>
      <c r="P14" s="45">
        <f ca="1">IFERROR(VLOOKUP("Power",Images!$A:$C,3,FALSE),V21)</f>
        <v>0</v>
      </c>
      <c r="Q14" s="43"/>
      <c r="R14" s="66" t="str">
        <f t="shared" si="0"/>
        <v>Leaf</v>
      </c>
      <c r="S14" s="65"/>
      <c r="T14" s="46" t="s">
        <v>357</v>
      </c>
      <c r="U14" s="66" t="str">
        <f>Images!$A$4</f>
        <v>Water</v>
      </c>
      <c r="V14" s="65"/>
      <c r="W14" s="46" t="s">
        <v>358</v>
      </c>
      <c r="X14" s="70" t="str">
        <f t="array" ref="X14">IFERROR(INDEX('5.29 Recipe Matrix (Unsorted)'!$C$5:$P$18,MATCH(R14,'5.29 Recipe Matrix (Unsorted)'!$A$5:$A$18,0),MATCH(U14,'5.29 Recipe Matrix (Unsorted)'!$C$3:$P$3,0)),"")</f>
        <v>2 Perks</v>
      </c>
      <c r="Y14" s="65"/>
      <c r="Z14" s="43"/>
    </row>
    <row r="15" spans="1:26" ht="37.5" customHeight="1">
      <c r="A15" s="43"/>
      <c r="B15" s="66" t="str">
        <f ca="1">IFERROR(VLOOKUP(R15,Images!$A:$C,3,FALSE),R15)</f>
        <v>Leaf</v>
      </c>
      <c r="C15" s="65"/>
      <c r="D15" s="46" t="s">
        <v>357</v>
      </c>
      <c r="E15" s="66" t="str">
        <f ca="1">IFERROR(VLOOKUP(U15,Images!$A:$C,3,FALSE),"")</f>
        <v/>
      </c>
      <c r="F15" s="65"/>
      <c r="G15" s="46" t="s">
        <v>358</v>
      </c>
      <c r="H15" s="64" t="str">
        <f>IFERROR(VLOOKUP(X15,Images!$A:$C,3,FALSE),X15)</f>
        <v>3 Hero Weapons</v>
      </c>
      <c r="I15" s="65"/>
      <c r="J15" s="43"/>
      <c r="K15" s="43"/>
      <c r="L15" s="45" t="str">
        <f ca="1">IFERROR(VLOOKUP("Leaf",Images!$A:$C,3,FALSE),R22)</f>
        <v>Leaf</v>
      </c>
      <c r="M15" s="46" t="s">
        <v>357</v>
      </c>
      <c r="N15" s="45" t="str">
        <f ca="1">IFERROR(VLOOKUP("Power",Images!$A:$C,3,FALSE),T22)</f>
        <v>+</v>
      </c>
      <c r="O15" s="46" t="s">
        <v>358</v>
      </c>
      <c r="P15" s="45">
        <f ca="1">IFERROR(VLOOKUP("Spirit",Images!$A:$C,3,FALSE),V22)</f>
        <v>0</v>
      </c>
      <c r="Q15" s="43"/>
      <c r="R15" s="66" t="str">
        <f t="shared" si="0"/>
        <v>Leaf</v>
      </c>
      <c r="S15" s="65"/>
      <c r="T15" s="46" t="s">
        <v>357</v>
      </c>
      <c r="U15" s="66" t="str">
        <f>Images!$A$5</f>
        <v>Lightning</v>
      </c>
      <c r="V15" s="65"/>
      <c r="W15" s="46" t="s">
        <v>358</v>
      </c>
      <c r="X15" s="70" t="str">
        <f t="array" ref="X15">IFERROR(INDEX('5.29 Recipe Matrix (Unsorted)'!$C$5:$P$18,MATCH(R15,'5.29 Recipe Matrix (Unsorted)'!$A$5:$A$18,0),MATCH(U15,'5.29 Recipe Matrix (Unsorted)'!$C$3:$P$3,0)),"")</f>
        <v>3 Hero Weapons</v>
      </c>
      <c r="Y15" s="65"/>
      <c r="Z15" s="43"/>
    </row>
    <row r="16" spans="1:26" ht="37.5" customHeight="1">
      <c r="A16" s="43"/>
      <c r="B16" s="66" t="str">
        <f ca="1">IFERROR(VLOOKUP(R16,Images!$A:$C,3,FALSE),R16)</f>
        <v>Leaf</v>
      </c>
      <c r="C16" s="65"/>
      <c r="D16" s="46" t="s">
        <v>357</v>
      </c>
      <c r="E16" s="66" t="str">
        <f ca="1">IFERROR(VLOOKUP(U16,Images!$A:$C,3,FALSE),"")</f>
        <v/>
      </c>
      <c r="F16" s="65"/>
      <c r="G16" s="46" t="s">
        <v>358</v>
      </c>
      <c r="H16" s="64" t="str">
        <f>IFERROR(VLOOKUP(X16,Images!$A:$C,3,FALSE),X16)</f>
        <v>21 Common Equipment</v>
      </c>
      <c r="I16" s="65"/>
      <c r="J16" s="43"/>
      <c r="K16" s="43"/>
      <c r="L16" s="45" t="str">
        <f ca="1">IFERROR(VLOOKUP("Sand",Images!$A:$C,3,FALSE),R23)</f>
        <v>Leaf</v>
      </c>
      <c r="M16" s="46" t="s">
        <v>357</v>
      </c>
      <c r="N16" s="45" t="str">
        <f ca="1">IFERROR(VLOOKUP("Essence",Images!$A:$C,3,FALSE),T23)</f>
        <v>+</v>
      </c>
      <c r="O16" s="46" t="s">
        <v>358</v>
      </c>
      <c r="P16" s="45">
        <f ca="1">IFERROR(VLOOKUP("Shadow",Images!$A:$C,3,FALSE),V23)</f>
        <v>0</v>
      </c>
      <c r="Q16" s="43"/>
      <c r="R16" s="66" t="str">
        <f t="shared" si="0"/>
        <v>Leaf</v>
      </c>
      <c r="S16" s="65"/>
      <c r="T16" s="46" t="s">
        <v>357</v>
      </c>
      <c r="U16" s="66" t="str">
        <f>Images!$A$6</f>
        <v>Poison</v>
      </c>
      <c r="V16" s="65"/>
      <c r="W16" s="46" t="s">
        <v>358</v>
      </c>
      <c r="X16" s="70" t="str">
        <f t="array" ref="X16">IFERROR(INDEX('5.29 Recipe Matrix (Unsorted)'!$C$5:$P$18,MATCH(R16,'5.29 Recipe Matrix (Unsorted)'!$A$5:$A$18,0),MATCH(U16,'5.29 Recipe Matrix (Unsorted)'!$C$3:$P$3,0)),"")</f>
        <v>21 Common Equipment</v>
      </c>
      <c r="Y16" s="65"/>
      <c r="Z16" s="43"/>
    </row>
    <row r="17" spans="1:26" ht="37.5" customHeight="1">
      <c r="A17" s="43"/>
      <c r="B17" s="66" t="str">
        <f ca="1">IFERROR(VLOOKUP(R17,Images!$A:$C,3,FALSE),R17)</f>
        <v>Leaf</v>
      </c>
      <c r="C17" s="65"/>
      <c r="D17" s="46" t="s">
        <v>357</v>
      </c>
      <c r="E17" s="66" t="str">
        <f ca="1">IFERROR(VLOOKUP(U17,Images!$A:$C,3,FALSE),"")</f>
        <v/>
      </c>
      <c r="F17" s="65"/>
      <c r="G17" s="46" t="s">
        <v>358</v>
      </c>
      <c r="H17" s="64" t="str">
        <f>IFERROR(VLOOKUP(X17,Images!$A:$C,3,FALSE),X17)</f>
        <v>6 Rare Equipment</v>
      </c>
      <c r="I17" s="65"/>
      <c r="J17" s="43"/>
      <c r="K17" s="43"/>
      <c r="L17" s="43"/>
      <c r="M17" s="43"/>
      <c r="N17" s="43"/>
      <c r="O17" s="43"/>
      <c r="P17" s="43"/>
      <c r="Q17" s="43"/>
      <c r="R17" s="66" t="str">
        <f t="shared" si="0"/>
        <v>Leaf</v>
      </c>
      <c r="S17" s="65"/>
      <c r="T17" s="46" t="s">
        <v>357</v>
      </c>
      <c r="U17" s="66" t="str">
        <f>Images!$A$7</f>
        <v>Beetle</v>
      </c>
      <c r="V17" s="65"/>
      <c r="W17" s="46" t="s">
        <v>358</v>
      </c>
      <c r="X17" s="70" t="str">
        <f t="array" ref="X17">IFERROR(INDEX('5.29 Recipe Matrix (Unsorted)'!$C$5:$P$18,MATCH(R17,'5.29 Recipe Matrix (Unsorted)'!$A$5:$A$18,0),MATCH(U17,'5.29 Recipe Matrix (Unsorted)'!$C$3:$P$3,0)),"")</f>
        <v>6 Rare Equipment</v>
      </c>
      <c r="Y17" s="65"/>
      <c r="Z17" s="43"/>
    </row>
    <row r="18" spans="1:26" ht="37.5" customHeight="1">
      <c r="A18" s="43"/>
      <c r="B18" s="66" t="str">
        <f ca="1">IFERROR(VLOOKUP(R18,Images!$A:$C,3,FALSE),R18)</f>
        <v>Leaf</v>
      </c>
      <c r="C18" s="65"/>
      <c r="D18" s="46" t="s">
        <v>357</v>
      </c>
      <c r="E18" s="66" t="str">
        <f ca="1">IFERROR(VLOOKUP(U18,Images!$A:$C,3,FALSE),"")</f>
        <v/>
      </c>
      <c r="F18" s="65"/>
      <c r="G18" s="46" t="s">
        <v>358</v>
      </c>
      <c r="H18" s="64" t="str">
        <f>IFERROR(VLOOKUP(X18,Images!$A:$C,3,FALSE),X18)</f>
        <v/>
      </c>
      <c r="I18" s="65"/>
      <c r="J18" s="43"/>
      <c r="K18" s="43"/>
      <c r="L18" s="43"/>
      <c r="M18" s="43"/>
      <c r="N18" s="43"/>
      <c r="O18" s="43"/>
      <c r="P18" s="43"/>
      <c r="Q18" s="43"/>
      <c r="R18" s="66" t="str">
        <f t="shared" si="0"/>
        <v>Leaf</v>
      </c>
      <c r="S18" s="65"/>
      <c r="T18" s="46" t="s">
        <v>357</v>
      </c>
      <c r="U18" s="66" t="str">
        <f>Images!$A$8</f>
        <v>Tooth</v>
      </c>
      <c r="V18" s="65"/>
      <c r="W18" s="46" t="s">
        <v>358</v>
      </c>
      <c r="X18" s="70" t="str">
        <f t="array" ref="X18">IFERROR(INDEX('5.29 Recipe Matrix (Unsorted)'!$C$5:$P$18,MATCH(R18,'5.29 Recipe Matrix (Unsorted)'!$A$5:$A$18,0),MATCH(U18,'5.29 Recipe Matrix (Unsorted)'!$C$3:$P$3,0)),"")</f>
        <v/>
      </c>
      <c r="Y18" s="65"/>
      <c r="Z18" s="43"/>
    </row>
    <row r="19" spans="1:26" ht="37.5" customHeight="1">
      <c r="A19" s="43"/>
      <c r="B19" s="66" t="str">
        <f ca="1">IFERROR(VLOOKUP(R19,Images!$A:$C,3,FALSE),R19)</f>
        <v>Leaf</v>
      </c>
      <c r="C19" s="65"/>
      <c r="D19" s="46" t="s">
        <v>357</v>
      </c>
      <c r="E19" s="66" t="str">
        <f ca="1">IFERROR(VLOOKUP(U19,Images!$A:$C,3,FALSE),"")</f>
        <v/>
      </c>
      <c r="F19" s="65"/>
      <c r="G19" s="46" t="s">
        <v>358</v>
      </c>
      <c r="H19" s="64" t="str">
        <f>IFERROR(VLOOKUP(X19,Images!$A:$C,3,FALSE),X19)</f>
        <v>206 Dust</v>
      </c>
      <c r="I19" s="65"/>
      <c r="J19" s="43"/>
      <c r="K19" s="43"/>
      <c r="L19" s="43"/>
      <c r="M19" s="43"/>
      <c r="N19" s="43"/>
      <c r="O19" s="43"/>
      <c r="P19" s="43"/>
      <c r="Q19" s="43"/>
      <c r="R19" s="66" t="str">
        <f t="shared" si="0"/>
        <v>Leaf</v>
      </c>
      <c r="S19" s="65"/>
      <c r="T19" s="46" t="s">
        <v>357</v>
      </c>
      <c r="U19" s="66" t="str">
        <f>Images!$A$9</f>
        <v>Flame</v>
      </c>
      <c r="V19" s="65"/>
      <c r="W19" s="46" t="s">
        <v>358</v>
      </c>
      <c r="X19" s="70" t="str">
        <f t="array" ref="X19">IFERROR(INDEX('5.29 Recipe Matrix (Unsorted)'!$C$5:$P$18,MATCH(R19,'5.29 Recipe Matrix (Unsorted)'!$A$5:$A$18,0),MATCH(U19,'5.29 Recipe Matrix (Unsorted)'!$C$3:$P$3,0)),"")</f>
        <v>206 Dust</v>
      </c>
      <c r="Y19" s="65"/>
      <c r="Z19" s="43"/>
    </row>
    <row r="20" spans="1:26" ht="37.5" customHeight="1">
      <c r="A20" s="43"/>
      <c r="B20" s="66" t="str">
        <f ca="1">IFERROR(VLOOKUP(R20,Images!$A:$C,3,FALSE),R20)</f>
        <v>Leaf</v>
      </c>
      <c r="C20" s="65"/>
      <c r="D20" s="46" t="s">
        <v>357</v>
      </c>
      <c r="E20" s="66" t="str">
        <f ca="1">IFERROR(VLOOKUP(U20,Images!$A:$C,3,FALSE),"")</f>
        <v/>
      </c>
      <c r="F20" s="65"/>
      <c r="G20" s="46" t="s">
        <v>358</v>
      </c>
      <c r="H20" s="64" t="str">
        <f>IFERROR(VLOOKUP(X20,Images!$A:$C,3,FALSE),X20)</f>
        <v>112 Currency</v>
      </c>
      <c r="I20" s="65"/>
      <c r="J20" s="43"/>
      <c r="K20" s="43"/>
      <c r="L20" s="43"/>
      <c r="M20" s="43"/>
      <c r="N20" s="43"/>
      <c r="O20" s="43"/>
      <c r="P20" s="43"/>
      <c r="Q20" s="43"/>
      <c r="R20" s="66" t="str">
        <f t="shared" si="0"/>
        <v>Leaf</v>
      </c>
      <c r="S20" s="65"/>
      <c r="T20" s="46" t="s">
        <v>357</v>
      </c>
      <c r="U20" s="66" t="str">
        <f>Images!$A$10</f>
        <v>Steel</v>
      </c>
      <c r="V20" s="65"/>
      <c r="W20" s="46" t="s">
        <v>358</v>
      </c>
      <c r="X20" s="70" t="str">
        <f t="array" ref="X20">IFERROR(INDEX('5.29 Recipe Matrix (Unsorted)'!$C$5:$P$18,MATCH(R20,'5.29 Recipe Matrix (Unsorted)'!$A$5:$A$18,0),MATCH(U20,'5.29 Recipe Matrix (Unsorted)'!$C$3:$P$3,0)),"")</f>
        <v>112 Currency</v>
      </c>
      <c r="Y20" s="65"/>
      <c r="Z20" s="43"/>
    </row>
    <row r="21" spans="1:26" ht="37.5" customHeight="1">
      <c r="A21" s="43"/>
      <c r="B21" s="66" t="str">
        <f ca="1">IFERROR(VLOOKUP(R21,Images!$A:$C,3,FALSE),R21)</f>
        <v>Leaf</v>
      </c>
      <c r="C21" s="65"/>
      <c r="D21" s="46" t="s">
        <v>357</v>
      </c>
      <c r="E21" s="66" t="str">
        <f ca="1">IFERROR(VLOOKUP(U21,Images!$A:$C,3,FALSE),"")</f>
        <v/>
      </c>
      <c r="F21" s="65"/>
      <c r="G21" s="46" t="s">
        <v>358</v>
      </c>
      <c r="H21" s="64" t="str">
        <f>IFERROR(VLOOKUP(X21,Images!$A:$C,3,FALSE),X21)</f>
        <v>8 Rare Equipment</v>
      </c>
      <c r="I21" s="65"/>
      <c r="J21" s="43"/>
      <c r="K21" s="43"/>
      <c r="L21" s="43"/>
      <c r="M21" s="43"/>
      <c r="N21" s="43"/>
      <c r="O21" s="43"/>
      <c r="P21" s="43"/>
      <c r="Q21" s="43"/>
      <c r="R21" s="66" t="str">
        <f t="shared" si="0"/>
        <v>Leaf</v>
      </c>
      <c r="S21" s="65"/>
      <c r="T21" s="46" t="s">
        <v>357</v>
      </c>
      <c r="U21" s="66" t="str">
        <f>Images!$A$11</f>
        <v>Scale</v>
      </c>
      <c r="V21" s="65"/>
      <c r="W21" s="46" t="s">
        <v>358</v>
      </c>
      <c r="X21" s="70" t="str">
        <f t="array" ref="X21">IFERROR(INDEX('5.29 Recipe Matrix (Unsorted)'!$C$5:$P$18,MATCH(R21,'5.29 Recipe Matrix (Unsorted)'!$A$5:$A$18,0),MATCH(U21,'5.29 Recipe Matrix (Unsorted)'!$C$3:$P$3,0)),"")</f>
        <v>8 Rare Equipment</v>
      </c>
      <c r="Y21" s="65"/>
      <c r="Z21" s="43"/>
    </row>
    <row r="22" spans="1:26" ht="37.5" customHeight="1">
      <c r="A22" s="43"/>
      <c r="B22" s="66" t="str">
        <f ca="1">IFERROR(VLOOKUP(R22,Images!$A:$C,3,FALSE),R22)</f>
        <v>Leaf</v>
      </c>
      <c r="C22" s="65"/>
      <c r="D22" s="46" t="s">
        <v>357</v>
      </c>
      <c r="E22" s="66" t="str">
        <f ca="1">IFERROR(VLOOKUP(U22,Images!$A:$C,3,FALSE),"")</f>
        <v/>
      </c>
      <c r="F22" s="65"/>
      <c r="G22" s="46" t="s">
        <v>358</v>
      </c>
      <c r="H22" s="64" t="str">
        <f>IFERROR(VLOOKUP(X22,Images!$A:$C,3,FALSE),X22)</f>
        <v>62 Currency</v>
      </c>
      <c r="I22" s="65"/>
      <c r="J22" s="43"/>
      <c r="K22" s="43"/>
      <c r="L22" s="43"/>
      <c r="M22" s="43"/>
      <c r="N22" s="43"/>
      <c r="O22" s="43"/>
      <c r="P22" s="43"/>
      <c r="Q22" s="43"/>
      <c r="R22" s="66" t="str">
        <f t="shared" si="0"/>
        <v>Leaf</v>
      </c>
      <c r="S22" s="65"/>
      <c r="T22" s="46" t="s">
        <v>357</v>
      </c>
      <c r="U22" s="66" t="str">
        <f>Images!$A$12</f>
        <v>Essence</v>
      </c>
      <c r="V22" s="65"/>
      <c r="W22" s="46" t="s">
        <v>358</v>
      </c>
      <c r="X22" s="70" t="str">
        <f t="array" ref="X22">IFERROR(INDEX('5.29 Recipe Matrix (Unsorted)'!$C$5:$P$18,MATCH(R22,'5.29 Recipe Matrix (Unsorted)'!$A$5:$A$18,0),MATCH(U22,'5.29 Recipe Matrix (Unsorted)'!$C$3:$P$3,0)),"")</f>
        <v>62 Currency</v>
      </c>
      <c r="Y22" s="65"/>
      <c r="Z22" s="43"/>
    </row>
    <row r="23" spans="1:26" ht="37.5" customHeight="1">
      <c r="A23" s="43"/>
      <c r="B23" s="66" t="str">
        <f ca="1">IFERROR(VLOOKUP(R23,Images!$A:$C,3,FALSE),R23)</f>
        <v>Leaf</v>
      </c>
      <c r="C23" s="65"/>
      <c r="D23" s="46" t="s">
        <v>357</v>
      </c>
      <c r="E23" s="66" t="str">
        <f ca="1">IFERROR(VLOOKUP(U23,Images!$A:$C,3,FALSE),"")</f>
        <v/>
      </c>
      <c r="F23" s="65"/>
      <c r="G23" s="46" t="s">
        <v>358</v>
      </c>
      <c r="H23" s="64" t="str">
        <f>IFERROR(VLOOKUP(X23,Images!$A:$C,3,FALSE),X23)</f>
        <v>x8 Rare Equipment</v>
      </c>
      <c r="I23" s="65"/>
      <c r="J23" s="43"/>
      <c r="K23" s="43"/>
      <c r="L23" s="43"/>
      <c r="M23" s="43"/>
      <c r="N23" s="43"/>
      <c r="O23" s="43"/>
      <c r="P23" s="43"/>
      <c r="Q23" s="43"/>
      <c r="R23" s="66" t="str">
        <f t="shared" si="0"/>
        <v>Leaf</v>
      </c>
      <c r="S23" s="65"/>
      <c r="T23" s="46" t="s">
        <v>357</v>
      </c>
      <c r="U23" s="66" t="str">
        <f>Images!$A$13</f>
        <v>Power</v>
      </c>
      <c r="V23" s="65"/>
      <c r="W23" s="46" t="s">
        <v>358</v>
      </c>
      <c r="X23" s="70" t="str">
        <f t="array" ref="X23">IFERROR(INDEX('5.29 Recipe Matrix (Unsorted)'!$C$5:$P$18,MATCH(R23,'5.29 Recipe Matrix (Unsorted)'!$A$5:$A$18,0),MATCH(U23,'5.29 Recipe Matrix (Unsorted)'!$C$3:$P$3,0)),"")</f>
        <v>x8 Rare Equipment</v>
      </c>
      <c r="Y23" s="65"/>
      <c r="Z23" s="43"/>
    </row>
    <row r="24" spans="1:26" ht="37.5" customHeight="1">
      <c r="A24" s="43"/>
      <c r="B24" s="66" t="str">
        <f ca="1">IFERROR(VLOOKUP(R24,Images!$A:$C,3,FALSE),R24)</f>
        <v>Leaf</v>
      </c>
      <c r="C24" s="65"/>
      <c r="D24" s="46" t="s">
        <v>357</v>
      </c>
      <c r="E24" s="66" t="str">
        <f ca="1">IFERROR(VLOOKUP(U24,Images!$A:$C,3,FALSE),"")</f>
        <v/>
      </c>
      <c r="F24" s="65"/>
      <c r="G24" s="46" t="s">
        <v>358</v>
      </c>
      <c r="H24" s="64" t="str">
        <f>IFERROR(VLOOKUP(X24,Images!$A:$C,3,FALSE),X24)</f>
        <v/>
      </c>
      <c r="I24" s="65"/>
      <c r="J24" s="43"/>
      <c r="K24" s="43"/>
      <c r="L24" s="43"/>
      <c r="M24" s="43"/>
      <c r="N24" s="43"/>
      <c r="O24" s="43"/>
      <c r="P24" s="43"/>
      <c r="Q24" s="43"/>
      <c r="R24" s="66" t="str">
        <f t="shared" si="0"/>
        <v>Leaf</v>
      </c>
      <c r="S24" s="65"/>
      <c r="T24" s="46" t="s">
        <v>357</v>
      </c>
      <c r="U24" s="66" t="str">
        <f>Images!$A$14</f>
        <v>Shadow</v>
      </c>
      <c r="V24" s="65"/>
      <c r="W24" s="46" t="s">
        <v>358</v>
      </c>
      <c r="X24" s="70" t="str">
        <f t="array" ref="X24">IFERROR(INDEX('5.29 Recipe Matrix (Unsorted)'!$C$5:$P$18,MATCH(R24,'5.29 Recipe Matrix (Unsorted)'!$A$5:$A$18,0),MATCH(U24,'5.29 Recipe Matrix (Unsorted)'!$C$3:$P$3,0)),"")</f>
        <v/>
      </c>
      <c r="Y24" s="65"/>
      <c r="Z24" s="43"/>
    </row>
    <row r="25" spans="1:26" ht="37.5" customHeight="1">
      <c r="A25" s="43"/>
      <c r="B25" s="66" t="str">
        <f ca="1">IFERROR(VLOOKUP(R25,Images!$A:$C,3,FALSE),R25)</f>
        <v>Leaf</v>
      </c>
      <c r="C25" s="65"/>
      <c r="D25" s="46" t="s">
        <v>357</v>
      </c>
      <c r="E25" s="66" t="str">
        <f ca="1">IFERROR(VLOOKUP(U25,Images!$A:$C,3,FALSE),"")</f>
        <v/>
      </c>
      <c r="F25" s="65"/>
      <c r="G25" s="46" t="s">
        <v>358</v>
      </c>
      <c r="H25" s="64" t="str">
        <f>IFERROR(VLOOKUP(X25,Images!$A:$C,3,FALSE),X25)</f>
        <v/>
      </c>
      <c r="I25" s="65"/>
      <c r="J25" s="43"/>
      <c r="K25" s="43"/>
      <c r="L25" s="43"/>
      <c r="M25" s="43"/>
      <c r="N25" s="43"/>
      <c r="O25" s="43"/>
      <c r="P25" s="43"/>
      <c r="Q25" s="43"/>
      <c r="R25" s="66" t="str">
        <f t="shared" si="0"/>
        <v>Leaf</v>
      </c>
      <c r="S25" s="65"/>
      <c r="T25" s="46" t="s">
        <v>357</v>
      </c>
      <c r="U25" s="66" t="str">
        <f>Images!$A$15</f>
        <v>Spirit</v>
      </c>
      <c r="V25" s="65"/>
      <c r="W25" s="46" t="s">
        <v>358</v>
      </c>
      <c r="X25" s="70" t="str">
        <f t="array" ref="X25">IFERROR(INDEX('5.29 Recipe Matrix (Unsorted)'!$C$5:$P$18,MATCH(R25,'5.29 Recipe Matrix (Unsorted)'!$A$5:$A$18,0),MATCH(U25,'5.29 Recipe Matrix (Unsorted)'!$C$3:$P$3,0)),"")</f>
        <v/>
      </c>
      <c r="Y25" s="65"/>
      <c r="Z25" s="43"/>
    </row>
    <row r="26" spans="1:26" ht="37.5" customHeight="1">
      <c r="A26" s="43"/>
      <c r="B26" s="43"/>
      <c r="C26" s="43"/>
      <c r="D26" s="43"/>
      <c r="E26" s="43"/>
      <c r="F26" s="43"/>
      <c r="G26" s="43"/>
      <c r="H26" s="67" t="str">
        <f>HYPERLINK("https://docs.google.com/spreadsheets/d/1o95Ipwx6NIyFV3LCz9LGNbH9_WELHF-pbpkM31YwXyY/edit#gid=0&amp;range=A1","Back to Top")</f>
        <v>Back to Top</v>
      </c>
      <c r="I26" s="6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67" t="str">
        <f>HYPERLINK("https://docs.google.com/spreadsheets/d/1o95Ipwx6NIyFV3LCz9LGNbH9_WELHF-pbpkM31YwXyY/edit#gid=0&amp;range=A1","Back to Top")</f>
        <v>Back to Top</v>
      </c>
      <c r="Y26" s="65"/>
      <c r="Z26" s="43"/>
    </row>
    <row r="27" spans="1:26" ht="37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37.5" customHeight="1">
      <c r="A28" s="43"/>
      <c r="B28" s="68" t="str">
        <f>R28</f>
        <v>Sand Recipes</v>
      </c>
      <c r="C28" s="69"/>
      <c r="D28" s="69"/>
      <c r="E28" s="69"/>
      <c r="F28" s="69"/>
      <c r="G28" s="69"/>
      <c r="H28" s="69"/>
      <c r="I28" s="65"/>
      <c r="J28" s="43"/>
      <c r="K28" s="43"/>
      <c r="L28" s="43"/>
      <c r="M28" s="43"/>
      <c r="N28" s="43"/>
      <c r="O28" s="43"/>
      <c r="P28" s="43"/>
      <c r="Q28" s="43"/>
      <c r="R28" s="68" t="str">
        <f>R29 &amp; " Recipes"</f>
        <v>Sand Recipes</v>
      </c>
      <c r="S28" s="69"/>
      <c r="T28" s="69"/>
      <c r="U28" s="69"/>
      <c r="V28" s="69"/>
      <c r="W28" s="69"/>
      <c r="X28" s="69"/>
      <c r="Y28" s="65"/>
      <c r="Z28" s="43"/>
    </row>
    <row r="29" spans="1:26" ht="37.5" customHeight="1">
      <c r="A29" s="43"/>
      <c r="B29" s="66" t="str">
        <f ca="1">IFERROR(VLOOKUP(R29,Images!$A:$C,3,FALSE),R29)</f>
        <v>Sand</v>
      </c>
      <c r="C29" s="65"/>
      <c r="D29" s="46" t="s">
        <v>357</v>
      </c>
      <c r="E29" s="66" t="str">
        <f ca="1">IFERROR(VLOOKUP(U29,Images!$A:$C,3,FALSE),"")</f>
        <v/>
      </c>
      <c r="F29" s="65"/>
      <c r="G29" s="46" t="s">
        <v>358</v>
      </c>
      <c r="H29" s="64" t="str">
        <f>IFERROR(VLOOKUP(X13,Images!$A:$C,3,FALSE),X13)</f>
        <v/>
      </c>
      <c r="I29" s="65"/>
      <c r="J29" s="43"/>
      <c r="K29" s="43"/>
      <c r="L29" s="43"/>
      <c r="M29" s="43"/>
      <c r="N29" s="43"/>
      <c r="O29" s="43"/>
      <c r="P29" s="43"/>
      <c r="Q29" s="43"/>
      <c r="R29" s="66" t="str">
        <f>Images!$A$3</f>
        <v>Sand</v>
      </c>
      <c r="S29" s="65"/>
      <c r="T29" s="46" t="s">
        <v>357</v>
      </c>
      <c r="U29" s="66" t="str">
        <f>Images!$A$2</f>
        <v>Leaf</v>
      </c>
      <c r="V29" s="65"/>
      <c r="W29" s="46" t="s">
        <v>358</v>
      </c>
      <c r="X29" s="70" t="str">
        <f t="array" ref="X29">IFERROR(INDEX('5.29 Recipe Matrix (Unsorted)'!$C$5:$P$18,MATCH(R29,'5.29 Recipe Matrix (Unsorted)'!$A$5:$A$18,0),MATCH(U29,'5.29 Recipe Matrix (Unsorted)'!$C$3:$P$3,0)),"")</f>
        <v/>
      </c>
      <c r="Y29" s="65"/>
      <c r="Z29" s="43"/>
    </row>
    <row r="30" spans="1:26" ht="37.5" customHeight="1">
      <c r="A30" s="43"/>
      <c r="B30" s="66" t="str">
        <f ca="1">IFERROR(VLOOKUP(R30,Images!$A:$C,3,FALSE),R30)</f>
        <v>Sand</v>
      </c>
      <c r="C30" s="65"/>
      <c r="D30" s="46" t="s">
        <v>357</v>
      </c>
      <c r="E30" s="66" t="str">
        <f ca="1">IFERROR(VLOOKUP(U30,Images!$A:$C,3,FALSE),"")</f>
        <v/>
      </c>
      <c r="F30" s="65"/>
      <c r="G30" s="46" t="s">
        <v>358</v>
      </c>
      <c r="H30" s="64" t="str">
        <f>IFERROR(VLOOKUP(X30,Images!$A:$C,3,FALSE),X30)</f>
        <v/>
      </c>
      <c r="I30" s="65"/>
      <c r="J30" s="43"/>
      <c r="K30" s="43"/>
      <c r="L30" s="43"/>
      <c r="M30" s="43"/>
      <c r="N30" s="43"/>
      <c r="O30" s="43"/>
      <c r="P30" s="43"/>
      <c r="Q30" s="43"/>
      <c r="R30" s="66" t="str">
        <f t="shared" ref="R30:R42" si="1">R29</f>
        <v>Sand</v>
      </c>
      <c r="S30" s="65"/>
      <c r="T30" s="46" t="s">
        <v>357</v>
      </c>
      <c r="U30" s="66" t="str">
        <f>Images!$A$3</f>
        <v>Sand</v>
      </c>
      <c r="V30" s="65"/>
      <c r="W30" s="46" t="s">
        <v>358</v>
      </c>
      <c r="X30" s="70" t="str">
        <f t="array" ref="X30">IFERROR(INDEX('5.29 Recipe Matrix (Unsorted)'!$C$5:$P$18,MATCH(R30,'5.29 Recipe Matrix (Unsorted)'!$A$5:$A$18,0),MATCH(U30,'5.29 Recipe Matrix (Unsorted)'!$C$3:$P$3,0)),"")</f>
        <v/>
      </c>
      <c r="Y30" s="65"/>
      <c r="Z30" s="43"/>
    </row>
    <row r="31" spans="1:26" ht="37.5" customHeight="1">
      <c r="A31" s="43"/>
      <c r="B31" s="66" t="str">
        <f ca="1">IFERROR(VLOOKUP(R31,Images!$A:$C,3,FALSE),R31)</f>
        <v>Sand</v>
      </c>
      <c r="C31" s="65"/>
      <c r="D31" s="46" t="s">
        <v>357</v>
      </c>
      <c r="E31" s="66" t="str">
        <f ca="1">IFERROR(VLOOKUP(U31,Images!$A:$C,3,FALSE),"")</f>
        <v/>
      </c>
      <c r="F31" s="65"/>
      <c r="G31" s="46" t="s">
        <v>358</v>
      </c>
      <c r="H31" s="64" t="str">
        <f>IFERROR(VLOOKUP(X31,Images!$A:$C,3,FALSE),X31)</f>
        <v/>
      </c>
      <c r="I31" s="65"/>
      <c r="J31" s="43"/>
      <c r="K31" s="43"/>
      <c r="L31" s="43"/>
      <c r="M31" s="43"/>
      <c r="N31" s="43"/>
      <c r="O31" s="43"/>
      <c r="P31" s="43"/>
      <c r="Q31" s="43"/>
      <c r="R31" s="66" t="str">
        <f t="shared" si="1"/>
        <v>Sand</v>
      </c>
      <c r="S31" s="65"/>
      <c r="T31" s="46" t="s">
        <v>357</v>
      </c>
      <c r="U31" s="66" t="str">
        <f>Images!$A$4</f>
        <v>Water</v>
      </c>
      <c r="V31" s="65"/>
      <c r="W31" s="46" t="s">
        <v>358</v>
      </c>
      <c r="X31" s="70" t="str">
        <f t="array" ref="X31">IFERROR(INDEX('5.29 Recipe Matrix (Unsorted)'!$C$5:$P$18,MATCH(R31,'5.29 Recipe Matrix (Unsorted)'!$A$5:$A$18,0),MATCH(U31,'5.29 Recipe Matrix (Unsorted)'!$C$3:$P$3,0)),"")</f>
        <v/>
      </c>
      <c r="Y31" s="65"/>
      <c r="Z31" s="43"/>
    </row>
    <row r="32" spans="1:26" ht="37.5" customHeight="1">
      <c r="A32" s="43"/>
      <c r="B32" s="66" t="str">
        <f ca="1">IFERROR(VLOOKUP(R32,Images!$A:$C,3,FALSE),R32)</f>
        <v>Sand</v>
      </c>
      <c r="C32" s="65"/>
      <c r="D32" s="46" t="s">
        <v>357</v>
      </c>
      <c r="E32" s="66" t="str">
        <f ca="1">IFERROR(VLOOKUP(U32,Images!$A:$C,3,FALSE),"")</f>
        <v/>
      </c>
      <c r="F32" s="65"/>
      <c r="G32" s="46" t="s">
        <v>358</v>
      </c>
      <c r="H32" s="64" t="str">
        <f>IFERROR(VLOOKUP(X32,Images!$A:$C,3,FALSE),X32)</f>
        <v/>
      </c>
      <c r="I32" s="65"/>
      <c r="J32" s="43"/>
      <c r="K32" s="43"/>
      <c r="L32" s="43"/>
      <c r="M32" s="43"/>
      <c r="N32" s="43"/>
      <c r="O32" s="43"/>
      <c r="P32" s="43"/>
      <c r="Q32" s="43"/>
      <c r="R32" s="66" t="str">
        <f t="shared" si="1"/>
        <v>Sand</v>
      </c>
      <c r="S32" s="65"/>
      <c r="T32" s="46" t="s">
        <v>357</v>
      </c>
      <c r="U32" s="66" t="str">
        <f>Images!$A$5</f>
        <v>Lightning</v>
      </c>
      <c r="V32" s="65"/>
      <c r="W32" s="46" t="s">
        <v>358</v>
      </c>
      <c r="X32" s="70" t="str">
        <f t="array" ref="X32">IFERROR(INDEX('5.29 Recipe Matrix (Unsorted)'!$C$5:$P$18,MATCH(R32,'5.29 Recipe Matrix (Unsorted)'!$A$5:$A$18,0),MATCH(U32,'5.29 Recipe Matrix (Unsorted)'!$C$3:$P$3,0)),"")</f>
        <v/>
      </c>
      <c r="Y32" s="65"/>
      <c r="Z32" s="43"/>
    </row>
    <row r="33" spans="1:26" ht="37.5" customHeight="1">
      <c r="A33" s="43"/>
      <c r="B33" s="66" t="str">
        <f ca="1">IFERROR(VLOOKUP(R33,Images!$A:$C,3,FALSE),R33)</f>
        <v>Sand</v>
      </c>
      <c r="C33" s="65"/>
      <c r="D33" s="46" t="s">
        <v>357</v>
      </c>
      <c r="E33" s="66" t="str">
        <f ca="1">IFERROR(VLOOKUP(U33,Images!$A:$C,3,FALSE),"")</f>
        <v/>
      </c>
      <c r="F33" s="65"/>
      <c r="G33" s="46" t="s">
        <v>358</v>
      </c>
      <c r="H33" s="64" t="str">
        <f>IFERROR(VLOOKUP(X33,Images!$A:$C,3,FALSE),X33)</f>
        <v/>
      </c>
      <c r="I33" s="65"/>
      <c r="J33" s="43"/>
      <c r="K33" s="43"/>
      <c r="L33" s="43"/>
      <c r="M33" s="43"/>
      <c r="N33" s="43"/>
      <c r="O33" s="43"/>
      <c r="P33" s="43"/>
      <c r="Q33" s="43"/>
      <c r="R33" s="66" t="str">
        <f t="shared" si="1"/>
        <v>Sand</v>
      </c>
      <c r="S33" s="65"/>
      <c r="T33" s="46" t="s">
        <v>357</v>
      </c>
      <c r="U33" s="66" t="str">
        <f>Images!$A$6</f>
        <v>Poison</v>
      </c>
      <c r="V33" s="65"/>
      <c r="W33" s="46" t="s">
        <v>358</v>
      </c>
      <c r="X33" s="70" t="str">
        <f t="array" ref="X33">IFERROR(INDEX('5.29 Recipe Matrix (Unsorted)'!$C$5:$P$18,MATCH(R33,'5.29 Recipe Matrix (Unsorted)'!$A$5:$A$18,0),MATCH(U33,'5.29 Recipe Matrix (Unsorted)'!$C$3:$P$3,0)),"")</f>
        <v/>
      </c>
      <c r="Y33" s="65"/>
      <c r="Z33" s="43"/>
    </row>
    <row r="34" spans="1:26" ht="37.5" customHeight="1">
      <c r="A34" s="43"/>
      <c r="B34" s="66" t="str">
        <f ca="1">IFERROR(VLOOKUP(R34,Images!$A:$C,3,FALSE),R34)</f>
        <v>Sand</v>
      </c>
      <c r="C34" s="65"/>
      <c r="D34" s="46" t="s">
        <v>357</v>
      </c>
      <c r="E34" s="66" t="str">
        <f ca="1">IFERROR(VLOOKUP(U34,Images!$A:$C,3,FALSE),"")</f>
        <v/>
      </c>
      <c r="F34" s="65"/>
      <c r="G34" s="46" t="s">
        <v>358</v>
      </c>
      <c r="H34" s="64" t="str">
        <f>IFERROR(VLOOKUP(X34,Images!$A:$C,3,FALSE),X34)</f>
        <v/>
      </c>
      <c r="I34" s="65"/>
      <c r="J34" s="43"/>
      <c r="K34" s="43"/>
      <c r="L34" s="43"/>
      <c r="M34" s="43"/>
      <c r="N34" s="43"/>
      <c r="O34" s="43"/>
      <c r="P34" s="43"/>
      <c r="Q34" s="43"/>
      <c r="R34" s="66" t="str">
        <f t="shared" si="1"/>
        <v>Sand</v>
      </c>
      <c r="S34" s="65"/>
      <c r="T34" s="46" t="s">
        <v>357</v>
      </c>
      <c r="U34" s="66" t="str">
        <f>Images!$A$7</f>
        <v>Beetle</v>
      </c>
      <c r="V34" s="65"/>
      <c r="W34" s="46" t="s">
        <v>358</v>
      </c>
      <c r="X34" s="70" t="str">
        <f t="array" ref="X34">IFERROR(INDEX('5.29 Recipe Matrix (Unsorted)'!$C$5:$P$18,MATCH(R34,'5.29 Recipe Matrix (Unsorted)'!$A$5:$A$18,0),MATCH(U34,'5.29 Recipe Matrix (Unsorted)'!$C$3:$P$3,0)),"")</f>
        <v/>
      </c>
      <c r="Y34" s="65"/>
      <c r="Z34" s="43"/>
    </row>
    <row r="35" spans="1:26" ht="37.5" customHeight="1">
      <c r="A35" s="43"/>
      <c r="B35" s="66" t="str">
        <f ca="1">IFERROR(VLOOKUP(R35,Images!$A:$C,3,FALSE),R35)</f>
        <v>Sand</v>
      </c>
      <c r="C35" s="65"/>
      <c r="D35" s="46" t="s">
        <v>357</v>
      </c>
      <c r="E35" s="66" t="str">
        <f ca="1">IFERROR(VLOOKUP(U35,Images!$A:$C,3,FALSE),"")</f>
        <v/>
      </c>
      <c r="F35" s="65"/>
      <c r="G35" s="46" t="s">
        <v>358</v>
      </c>
      <c r="H35" s="64" t="str">
        <f>IFERROR(VLOOKUP(X35,Images!$A:$C,3,FALSE),X35)</f>
        <v/>
      </c>
      <c r="I35" s="65"/>
      <c r="J35" s="43"/>
      <c r="K35" s="43"/>
      <c r="L35" s="43"/>
      <c r="M35" s="43"/>
      <c r="N35" s="43"/>
      <c r="O35" s="43"/>
      <c r="P35" s="43"/>
      <c r="Q35" s="43"/>
      <c r="R35" s="66" t="str">
        <f t="shared" si="1"/>
        <v>Sand</v>
      </c>
      <c r="S35" s="65"/>
      <c r="T35" s="46" t="s">
        <v>357</v>
      </c>
      <c r="U35" s="66" t="str">
        <f>Images!$A$8</f>
        <v>Tooth</v>
      </c>
      <c r="V35" s="65"/>
      <c r="W35" s="46" t="s">
        <v>358</v>
      </c>
      <c r="X35" s="70" t="str">
        <f t="array" ref="X35">IFERROR(INDEX('5.29 Recipe Matrix (Unsorted)'!$C$5:$P$18,MATCH(R35,'5.29 Recipe Matrix (Unsorted)'!$A$5:$A$18,0),MATCH(U35,'5.29 Recipe Matrix (Unsorted)'!$C$3:$P$3,0)),"")</f>
        <v/>
      </c>
      <c r="Y35" s="65"/>
      <c r="Z35" s="43"/>
    </row>
    <row r="36" spans="1:26" ht="37.5" customHeight="1">
      <c r="A36" s="43"/>
      <c r="B36" s="66" t="str">
        <f ca="1">IFERROR(VLOOKUP(R36,Images!$A:$C,3,FALSE),R36)</f>
        <v>Sand</v>
      </c>
      <c r="C36" s="65"/>
      <c r="D36" s="46" t="s">
        <v>357</v>
      </c>
      <c r="E36" s="66" t="str">
        <f ca="1">IFERROR(VLOOKUP(U36,Images!$A:$C,3,FALSE),"")</f>
        <v/>
      </c>
      <c r="F36" s="65"/>
      <c r="G36" s="46" t="s">
        <v>358</v>
      </c>
      <c r="H36" s="64" t="str">
        <f>IFERROR(VLOOKUP(X36,Images!$A:$C,3,FALSE),X36)</f>
        <v/>
      </c>
      <c r="I36" s="65"/>
      <c r="J36" s="43"/>
      <c r="K36" s="43"/>
      <c r="L36" s="43"/>
      <c r="M36" s="43"/>
      <c r="N36" s="43"/>
      <c r="O36" s="43"/>
      <c r="P36" s="43"/>
      <c r="Q36" s="43"/>
      <c r="R36" s="66" t="str">
        <f t="shared" si="1"/>
        <v>Sand</v>
      </c>
      <c r="S36" s="65"/>
      <c r="T36" s="46" t="s">
        <v>357</v>
      </c>
      <c r="U36" s="66" t="str">
        <f>Images!$A$9</f>
        <v>Flame</v>
      </c>
      <c r="V36" s="65"/>
      <c r="W36" s="46" t="s">
        <v>358</v>
      </c>
      <c r="X36" s="70" t="str">
        <f t="array" ref="X36">IFERROR(INDEX('5.29 Recipe Matrix (Unsorted)'!$C$5:$P$18,MATCH(R36,'5.29 Recipe Matrix (Unsorted)'!$A$5:$A$18,0),MATCH(U36,'5.29 Recipe Matrix (Unsorted)'!$C$3:$P$3,0)),"")</f>
        <v/>
      </c>
      <c r="Y36" s="65"/>
      <c r="Z36" s="43"/>
    </row>
    <row r="37" spans="1:26" ht="37.5" customHeight="1">
      <c r="A37" s="43"/>
      <c r="B37" s="66" t="str">
        <f ca="1">IFERROR(VLOOKUP(R37,Images!$A:$C,3,FALSE),R37)</f>
        <v>Sand</v>
      </c>
      <c r="C37" s="65"/>
      <c r="D37" s="46" t="s">
        <v>357</v>
      </c>
      <c r="E37" s="66" t="str">
        <f ca="1">IFERROR(VLOOKUP(U37,Images!$A:$C,3,FALSE),"")</f>
        <v/>
      </c>
      <c r="F37" s="65"/>
      <c r="G37" s="46" t="s">
        <v>358</v>
      </c>
      <c r="H37" s="64" t="str">
        <f>IFERROR(VLOOKUP(X37,Images!$A:$C,3,FALSE),X37)</f>
        <v/>
      </c>
      <c r="I37" s="65"/>
      <c r="J37" s="43"/>
      <c r="K37" s="43"/>
      <c r="L37" s="43"/>
      <c r="M37" s="43"/>
      <c r="N37" s="43"/>
      <c r="O37" s="43"/>
      <c r="P37" s="43"/>
      <c r="Q37" s="43"/>
      <c r="R37" s="66" t="str">
        <f t="shared" si="1"/>
        <v>Sand</v>
      </c>
      <c r="S37" s="65"/>
      <c r="T37" s="46" t="s">
        <v>357</v>
      </c>
      <c r="U37" s="66" t="str">
        <f>Images!$A$10</f>
        <v>Steel</v>
      </c>
      <c r="V37" s="65"/>
      <c r="W37" s="46" t="s">
        <v>358</v>
      </c>
      <c r="X37" s="70" t="str">
        <f t="array" ref="X37">IFERROR(INDEX('5.29 Recipe Matrix (Unsorted)'!$C$5:$P$18,MATCH(R37,'5.29 Recipe Matrix (Unsorted)'!$A$5:$A$18,0),MATCH(U37,'5.29 Recipe Matrix (Unsorted)'!$C$3:$P$3,0)),"")</f>
        <v/>
      </c>
      <c r="Y37" s="65"/>
      <c r="Z37" s="43"/>
    </row>
    <row r="38" spans="1:26" ht="37.5" customHeight="1">
      <c r="A38" s="43"/>
      <c r="B38" s="66" t="str">
        <f ca="1">IFERROR(VLOOKUP(R38,Images!$A:$C,3,FALSE),R38)</f>
        <v>Sand</v>
      </c>
      <c r="C38" s="65"/>
      <c r="D38" s="46" t="s">
        <v>357</v>
      </c>
      <c r="E38" s="66" t="str">
        <f ca="1">IFERROR(VLOOKUP(U38,Images!$A:$C,3,FALSE),"")</f>
        <v/>
      </c>
      <c r="F38" s="65"/>
      <c r="G38" s="46" t="s">
        <v>358</v>
      </c>
      <c r="H38" s="64" t="str">
        <f>IFERROR(VLOOKUP(X38,Images!$A:$C,3,FALSE),X38)</f>
        <v/>
      </c>
      <c r="I38" s="65"/>
      <c r="J38" s="43"/>
      <c r="K38" s="43"/>
      <c r="L38" s="43"/>
      <c r="M38" s="43"/>
      <c r="N38" s="43"/>
      <c r="O38" s="43"/>
      <c r="P38" s="43"/>
      <c r="Q38" s="43"/>
      <c r="R38" s="66" t="str">
        <f t="shared" si="1"/>
        <v>Sand</v>
      </c>
      <c r="S38" s="65"/>
      <c r="T38" s="46" t="s">
        <v>357</v>
      </c>
      <c r="U38" s="66" t="str">
        <f>Images!$A$11</f>
        <v>Scale</v>
      </c>
      <c r="V38" s="65"/>
      <c r="W38" s="46" t="s">
        <v>358</v>
      </c>
      <c r="X38" s="70" t="str">
        <f t="array" ref="X38">IFERROR(INDEX('5.29 Recipe Matrix (Unsorted)'!$C$5:$P$18,MATCH(R38,'5.29 Recipe Matrix (Unsorted)'!$A$5:$A$18,0),MATCH(U38,'5.29 Recipe Matrix (Unsorted)'!$C$3:$P$3,0)),"")</f>
        <v/>
      </c>
      <c r="Y38" s="65"/>
      <c r="Z38" s="43"/>
    </row>
    <row r="39" spans="1:26" ht="37.5" customHeight="1">
      <c r="A39" s="43"/>
      <c r="B39" s="66" t="str">
        <f ca="1">IFERROR(VLOOKUP(R39,Images!$A:$C,3,FALSE),R39)</f>
        <v>Sand</v>
      </c>
      <c r="C39" s="65"/>
      <c r="D39" s="46" t="s">
        <v>357</v>
      </c>
      <c r="E39" s="66" t="str">
        <f ca="1">IFERROR(VLOOKUP(U39,Images!$A:$C,3,FALSE),"")</f>
        <v/>
      </c>
      <c r="F39" s="65"/>
      <c r="G39" s="46" t="s">
        <v>358</v>
      </c>
      <c r="H39" s="64" t="str">
        <f>IFERROR(VLOOKUP(X39,Images!$A:$C,3,FALSE),X39)</f>
        <v/>
      </c>
      <c r="I39" s="65"/>
      <c r="J39" s="43"/>
      <c r="K39" s="43"/>
      <c r="L39" s="43"/>
      <c r="M39" s="43"/>
      <c r="N39" s="43"/>
      <c r="O39" s="43"/>
      <c r="P39" s="43"/>
      <c r="Q39" s="43"/>
      <c r="R39" s="66" t="str">
        <f t="shared" si="1"/>
        <v>Sand</v>
      </c>
      <c r="S39" s="65"/>
      <c r="T39" s="46" t="s">
        <v>357</v>
      </c>
      <c r="U39" s="66" t="str">
        <f>Images!$A$12</f>
        <v>Essence</v>
      </c>
      <c r="V39" s="65"/>
      <c r="W39" s="46" t="s">
        <v>358</v>
      </c>
      <c r="X39" s="70" t="str">
        <f t="array" ref="X39">IFERROR(INDEX('5.29 Recipe Matrix (Unsorted)'!$C$5:$P$18,MATCH(R39,'5.29 Recipe Matrix (Unsorted)'!$A$5:$A$18,0),MATCH(U39,'5.29 Recipe Matrix (Unsorted)'!$C$3:$P$3,0)),"")</f>
        <v/>
      </c>
      <c r="Y39" s="65"/>
      <c r="Z39" s="43"/>
    </row>
    <row r="40" spans="1:26" ht="37.5" customHeight="1">
      <c r="A40" s="43"/>
      <c r="B40" s="66" t="str">
        <f ca="1">IFERROR(VLOOKUP(R40,Images!$A:$C,3,FALSE),R40)</f>
        <v>Sand</v>
      </c>
      <c r="C40" s="65"/>
      <c r="D40" s="46" t="s">
        <v>357</v>
      </c>
      <c r="E40" s="66" t="str">
        <f ca="1">IFERROR(VLOOKUP(U40,Images!$A:$C,3,FALSE),"")</f>
        <v/>
      </c>
      <c r="F40" s="65"/>
      <c r="G40" s="46" t="s">
        <v>358</v>
      </c>
      <c r="H40" s="64" t="str">
        <f>IFERROR(VLOOKUP(X40,Images!$A:$C,3,FALSE),X40)</f>
        <v/>
      </c>
      <c r="I40" s="65"/>
      <c r="J40" s="43"/>
      <c r="K40" s="43"/>
      <c r="L40" s="43"/>
      <c r="M40" s="43"/>
      <c r="N40" s="43"/>
      <c r="O40" s="43"/>
      <c r="P40" s="43"/>
      <c r="Q40" s="43"/>
      <c r="R40" s="66" t="str">
        <f t="shared" si="1"/>
        <v>Sand</v>
      </c>
      <c r="S40" s="65"/>
      <c r="T40" s="46" t="s">
        <v>357</v>
      </c>
      <c r="U40" s="66" t="str">
        <f>Images!$A$13</f>
        <v>Power</v>
      </c>
      <c r="V40" s="65"/>
      <c r="W40" s="46" t="s">
        <v>358</v>
      </c>
      <c r="X40" s="70" t="str">
        <f t="array" ref="X40">IFERROR(INDEX('5.29 Recipe Matrix (Unsorted)'!$C$5:$P$18,MATCH(R40,'5.29 Recipe Matrix (Unsorted)'!$A$5:$A$18,0),MATCH(U40,'5.29 Recipe Matrix (Unsorted)'!$C$3:$P$3,0)),"")</f>
        <v/>
      </c>
      <c r="Y40" s="65"/>
      <c r="Z40" s="43"/>
    </row>
    <row r="41" spans="1:26" ht="37.5" customHeight="1">
      <c r="A41" s="43"/>
      <c r="B41" s="66" t="str">
        <f ca="1">IFERROR(VLOOKUP(R41,Images!$A:$C,3,FALSE),R41)</f>
        <v>Sand</v>
      </c>
      <c r="C41" s="65"/>
      <c r="D41" s="46" t="s">
        <v>357</v>
      </c>
      <c r="E41" s="66" t="str">
        <f ca="1">IFERROR(VLOOKUP(U41,Images!$A:$C,3,FALSE),"")</f>
        <v/>
      </c>
      <c r="F41" s="65"/>
      <c r="G41" s="46" t="s">
        <v>358</v>
      </c>
      <c r="H41" s="64" t="str">
        <f>IFERROR(VLOOKUP(X41,Images!$A:$C,3,FALSE),X41)</f>
        <v/>
      </c>
      <c r="I41" s="65"/>
      <c r="J41" s="43"/>
      <c r="K41" s="43"/>
      <c r="L41" s="43"/>
      <c r="M41" s="43"/>
      <c r="N41" s="43"/>
      <c r="O41" s="43"/>
      <c r="P41" s="43"/>
      <c r="Q41" s="43"/>
      <c r="R41" s="66" t="str">
        <f t="shared" si="1"/>
        <v>Sand</v>
      </c>
      <c r="S41" s="65"/>
      <c r="T41" s="46" t="s">
        <v>357</v>
      </c>
      <c r="U41" s="66" t="str">
        <f>Images!$A$14</f>
        <v>Shadow</v>
      </c>
      <c r="V41" s="65"/>
      <c r="W41" s="46" t="s">
        <v>358</v>
      </c>
      <c r="X41" s="70" t="str">
        <f t="array" ref="X41">IFERROR(INDEX('5.29 Recipe Matrix (Unsorted)'!$C$5:$P$18,MATCH(R41,'5.29 Recipe Matrix (Unsorted)'!$A$5:$A$18,0),MATCH(U41,'5.29 Recipe Matrix (Unsorted)'!$C$3:$P$3,0)),"")</f>
        <v/>
      </c>
      <c r="Y41" s="65"/>
      <c r="Z41" s="43"/>
    </row>
    <row r="42" spans="1:26" ht="37.5" customHeight="1">
      <c r="A42" s="43"/>
      <c r="B42" s="66" t="str">
        <f ca="1">IFERROR(VLOOKUP(R42,Images!$A:$C,3,FALSE),R42)</f>
        <v>Sand</v>
      </c>
      <c r="C42" s="65"/>
      <c r="D42" s="46" t="s">
        <v>357</v>
      </c>
      <c r="E42" s="66" t="str">
        <f ca="1">IFERROR(VLOOKUP(U42,Images!$A:$C,3,FALSE),"")</f>
        <v/>
      </c>
      <c r="F42" s="65"/>
      <c r="G42" s="46" t="s">
        <v>358</v>
      </c>
      <c r="H42" s="64" t="str">
        <f>IFERROR(VLOOKUP(X42,Images!$A:$C,3,FALSE),X42)</f>
        <v>10 Rare Equipment</v>
      </c>
      <c r="I42" s="65"/>
      <c r="J42" s="43"/>
      <c r="K42" s="43"/>
      <c r="L42" s="43"/>
      <c r="M42" s="43"/>
      <c r="N42" s="43"/>
      <c r="O42" s="43"/>
      <c r="P42" s="43"/>
      <c r="Q42" s="43"/>
      <c r="R42" s="66" t="str">
        <f t="shared" si="1"/>
        <v>Sand</v>
      </c>
      <c r="S42" s="65"/>
      <c r="T42" s="46" t="s">
        <v>357</v>
      </c>
      <c r="U42" s="66" t="str">
        <f>Images!$A$15</f>
        <v>Spirit</v>
      </c>
      <c r="V42" s="65"/>
      <c r="W42" s="46" t="s">
        <v>358</v>
      </c>
      <c r="X42" s="70" t="s">
        <v>359</v>
      </c>
      <c r="Y42" s="65"/>
      <c r="Z42" s="43"/>
    </row>
    <row r="43" spans="1:26" ht="37.5" customHeight="1">
      <c r="A43" s="43"/>
      <c r="B43" s="43"/>
      <c r="C43" s="43"/>
      <c r="D43" s="43"/>
      <c r="E43" s="43"/>
      <c r="F43" s="43"/>
      <c r="G43" s="43"/>
      <c r="H43" s="67" t="str">
        <f>HYPERLINK("https://docs.google.com/spreadsheets/d/1o95Ipwx6NIyFV3LCz9LGNbH9_WELHF-pbpkM31YwXyY/edit#gid=0&amp;range=A1","Back to Top")</f>
        <v>Back to Top</v>
      </c>
      <c r="I43" s="65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67" t="str">
        <f>HYPERLINK("https://docs.google.com/spreadsheets/d/1o95Ipwx6NIyFV3LCz9LGNbH9_WELHF-pbpkM31YwXyY/edit#gid=0&amp;range=A1","Back to Top")</f>
        <v>Back to Top</v>
      </c>
      <c r="Y43" s="65"/>
      <c r="Z43" s="43"/>
    </row>
    <row r="44" spans="1:26" ht="37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37.5" customHeight="1">
      <c r="A45" s="43"/>
      <c r="B45" s="68" t="str">
        <f>R45</f>
        <v>Water Recipes</v>
      </c>
      <c r="C45" s="69"/>
      <c r="D45" s="69"/>
      <c r="E45" s="69"/>
      <c r="F45" s="69"/>
      <c r="G45" s="69"/>
      <c r="H45" s="69"/>
      <c r="I45" s="65"/>
      <c r="J45" s="43"/>
      <c r="K45" s="43"/>
      <c r="L45" s="43"/>
      <c r="M45" s="43"/>
      <c r="N45" s="43"/>
      <c r="O45" s="43"/>
      <c r="P45" s="43"/>
      <c r="Q45" s="43"/>
      <c r="R45" s="68" t="str">
        <f>R46 &amp; " Recipes"</f>
        <v>Water Recipes</v>
      </c>
      <c r="S45" s="69"/>
      <c r="T45" s="69"/>
      <c r="U45" s="69"/>
      <c r="V45" s="69"/>
      <c r="W45" s="69"/>
      <c r="X45" s="69"/>
      <c r="Y45" s="65"/>
      <c r="Z45" s="43"/>
    </row>
    <row r="46" spans="1:26" ht="37.5" customHeight="1">
      <c r="A46" s="43"/>
      <c r="B46" s="66" t="str">
        <f ca="1">IFERROR(VLOOKUP(R46,Images!$A:$C,3,FALSE),R46)</f>
        <v>Water</v>
      </c>
      <c r="C46" s="65"/>
      <c r="D46" s="46" t="s">
        <v>357</v>
      </c>
      <c r="E46" s="66" t="str">
        <f ca="1">IFERROR(VLOOKUP(U46,Images!$A:$C,3,FALSE),"")</f>
        <v/>
      </c>
      <c r="F46" s="65"/>
      <c r="G46" s="46" t="s">
        <v>358</v>
      </c>
      <c r="H46" s="64" t="str">
        <f>IFERROR(VLOOKUP(X46,Images!$A:$C,3,FALSE),X46)</f>
        <v>2 Perks</v>
      </c>
      <c r="I46" s="65"/>
      <c r="J46" s="43"/>
      <c r="K46" s="43"/>
      <c r="L46" s="43"/>
      <c r="M46" s="43"/>
      <c r="N46" s="43"/>
      <c r="O46" s="43"/>
      <c r="P46" s="43"/>
      <c r="Q46" s="43"/>
      <c r="R46" s="66" t="str">
        <f>Images!$A$4</f>
        <v>Water</v>
      </c>
      <c r="S46" s="65"/>
      <c r="T46" s="46" t="s">
        <v>357</v>
      </c>
      <c r="U46" s="66" t="str">
        <f>Images!$A$2</f>
        <v>Leaf</v>
      </c>
      <c r="V46" s="65"/>
      <c r="W46" s="46" t="s">
        <v>358</v>
      </c>
      <c r="X46" s="70" t="str">
        <f t="array" ref="X46">IFERROR(INDEX('5.29 Recipe Matrix (Unsorted)'!$C$5:$P$18,MATCH(R46,'5.29 Recipe Matrix (Unsorted)'!$A$5:$A$18,0),MATCH(U46,'5.29 Recipe Matrix (Unsorted)'!$C$3:$P$3,0)),"")</f>
        <v>2 Perks</v>
      </c>
      <c r="Y46" s="65"/>
      <c r="Z46" s="43"/>
    </row>
    <row r="47" spans="1:26" ht="37.5" customHeight="1">
      <c r="A47" s="43"/>
      <c r="B47" s="66" t="str">
        <f ca="1">IFERROR(VLOOKUP(R47,Images!$A:$C,3,FALSE),R47)</f>
        <v>Water</v>
      </c>
      <c r="C47" s="65"/>
      <c r="D47" s="46" t="s">
        <v>357</v>
      </c>
      <c r="E47" s="66" t="str">
        <f ca="1">IFERROR(VLOOKUP(U47,Images!$A:$C,3,FALSE),"")</f>
        <v/>
      </c>
      <c r="F47" s="65"/>
      <c r="G47" s="46" t="s">
        <v>358</v>
      </c>
      <c r="H47" s="64" t="str">
        <f>IFERROR(VLOOKUP(X47,Images!$A:$C,3,FALSE),X47)</f>
        <v/>
      </c>
      <c r="I47" s="65"/>
      <c r="J47" s="43"/>
      <c r="K47" s="43"/>
      <c r="L47" s="43"/>
      <c r="M47" s="43"/>
      <c r="N47" s="43"/>
      <c r="O47" s="43"/>
      <c r="P47" s="43"/>
      <c r="Q47" s="43"/>
      <c r="R47" s="66" t="str">
        <f t="shared" ref="R47:R59" si="2">R46</f>
        <v>Water</v>
      </c>
      <c r="S47" s="65"/>
      <c r="T47" s="46" t="s">
        <v>357</v>
      </c>
      <c r="U47" s="66" t="str">
        <f>Images!$A$3</f>
        <v>Sand</v>
      </c>
      <c r="V47" s="65"/>
      <c r="W47" s="46" t="s">
        <v>358</v>
      </c>
      <c r="X47" s="70" t="str">
        <f t="array" ref="X47">IFERROR(INDEX('5.29 Recipe Matrix (Unsorted)'!$C$5:$P$18,MATCH(R47,'5.29 Recipe Matrix (Unsorted)'!$A$5:$A$18,0),MATCH(U47,'5.29 Recipe Matrix (Unsorted)'!$C$3:$P$3,0)),"")</f>
        <v/>
      </c>
      <c r="Y47" s="65"/>
      <c r="Z47" s="43"/>
    </row>
    <row r="48" spans="1:26" ht="37.5" customHeight="1">
      <c r="A48" s="43"/>
      <c r="B48" s="66" t="str">
        <f ca="1">IFERROR(VLOOKUP(R48,Images!$A:$C,3,FALSE),R48)</f>
        <v>Water</v>
      </c>
      <c r="C48" s="65"/>
      <c r="D48" s="46" t="s">
        <v>357</v>
      </c>
      <c r="E48" s="66" t="str">
        <f ca="1">IFERROR(VLOOKUP(U48,Images!$A:$C,3,FALSE),"")</f>
        <v/>
      </c>
      <c r="F48" s="65"/>
      <c r="G48" s="46" t="s">
        <v>358</v>
      </c>
      <c r="H48" s="64" t="s">
        <v>56</v>
      </c>
      <c r="I48" s="65"/>
      <c r="J48" s="43"/>
      <c r="K48" s="43"/>
      <c r="L48" s="43"/>
      <c r="M48" s="43"/>
      <c r="N48" s="43"/>
      <c r="O48" s="43"/>
      <c r="P48" s="43"/>
      <c r="Q48" s="43"/>
      <c r="R48" s="66" t="str">
        <f t="shared" si="2"/>
        <v>Water</v>
      </c>
      <c r="S48" s="65"/>
      <c r="T48" s="46" t="s">
        <v>357</v>
      </c>
      <c r="U48" s="66" t="str">
        <f>Images!$A$4</f>
        <v>Water</v>
      </c>
      <c r="V48" s="65"/>
      <c r="W48" s="46" t="s">
        <v>358</v>
      </c>
      <c r="X48" s="70" t="str">
        <f t="array" aca="1" ref="X48" ca="1">IFERROR(INDEX('5.29 Recipe Matrix (Unsorted)'!$C$5:$P$18,MATCH(R48,'5.29 Recipe Matrix (Unsorted)'!$A$5:$A$18,0),MATCH(U48,'5.29 Recipe Matrix (Unsorted)'!$C$3:$P$3,0)),"")</f>
        <v/>
      </c>
      <c r="Y48" s="65"/>
      <c r="Z48" s="43"/>
    </row>
    <row r="49" spans="1:26" ht="37.5" customHeight="1">
      <c r="A49" s="43"/>
      <c r="B49" s="66" t="str">
        <f ca="1">IFERROR(VLOOKUP(R49,Images!$A:$C,3,FALSE),R49)</f>
        <v>Water</v>
      </c>
      <c r="C49" s="65"/>
      <c r="D49" s="46" t="s">
        <v>357</v>
      </c>
      <c r="E49" s="66" t="str">
        <f ca="1">IFERROR(VLOOKUP(U49,Images!$A:$C,3,FALSE),"")</f>
        <v/>
      </c>
      <c r="F49" s="65"/>
      <c r="G49" s="46" t="s">
        <v>358</v>
      </c>
      <c r="H49" s="64" t="str">
        <f>IFERROR(VLOOKUP(X49,Images!$A:$C,3,FALSE),X49)</f>
        <v>5 Hero Weapons</v>
      </c>
      <c r="I49" s="65"/>
      <c r="J49" s="43"/>
      <c r="K49" s="43"/>
      <c r="L49" s="43"/>
      <c r="M49" s="43"/>
      <c r="N49" s="43"/>
      <c r="O49" s="43"/>
      <c r="P49" s="43"/>
      <c r="Q49" s="43"/>
      <c r="R49" s="66" t="str">
        <f t="shared" si="2"/>
        <v>Water</v>
      </c>
      <c r="S49" s="65"/>
      <c r="T49" s="46" t="s">
        <v>357</v>
      </c>
      <c r="U49" s="66" t="str">
        <f>Images!$A$5</f>
        <v>Lightning</v>
      </c>
      <c r="V49" s="65"/>
      <c r="W49" s="46" t="s">
        <v>358</v>
      </c>
      <c r="X49" s="70" t="str">
        <f t="array" ref="X49">IFERROR(INDEX('5.29 Recipe Matrix (Unsorted)'!$C$5:$P$18,MATCH(R49,'5.29 Recipe Matrix (Unsorted)'!$A$5:$A$18,0),MATCH(U49,'5.29 Recipe Matrix (Unsorted)'!$C$3:$P$3,0)),"")</f>
        <v>5 Hero Weapons</v>
      </c>
      <c r="Y49" s="65"/>
      <c r="Z49" s="43"/>
    </row>
    <row r="50" spans="1:26" ht="37.5" customHeight="1">
      <c r="A50" s="43"/>
      <c r="B50" s="66" t="str">
        <f ca="1">IFERROR(VLOOKUP(R50,Images!$A:$C,3,FALSE),R50)</f>
        <v>Water</v>
      </c>
      <c r="C50" s="65"/>
      <c r="D50" s="46" t="s">
        <v>357</v>
      </c>
      <c r="E50" s="66" t="str">
        <f ca="1">IFERROR(VLOOKUP(U50,Images!$A:$C,3,FALSE),"")</f>
        <v/>
      </c>
      <c r="F50" s="65"/>
      <c r="G50" s="46" t="s">
        <v>358</v>
      </c>
      <c r="H50" s="64" t="str">
        <f>IFERROR(VLOOKUP(X50,Images!$A:$C,3,FALSE),X50)</f>
        <v>3 Perks</v>
      </c>
      <c r="I50" s="65"/>
      <c r="J50" s="43"/>
      <c r="K50" s="43"/>
      <c r="L50" s="43"/>
      <c r="M50" s="43"/>
      <c r="N50" s="43"/>
      <c r="O50" s="43"/>
      <c r="P50" s="43"/>
      <c r="Q50" s="43"/>
      <c r="R50" s="66" t="str">
        <f t="shared" si="2"/>
        <v>Water</v>
      </c>
      <c r="S50" s="65"/>
      <c r="T50" s="46" t="s">
        <v>357</v>
      </c>
      <c r="U50" s="66" t="str">
        <f>Images!$A$6</f>
        <v>Poison</v>
      </c>
      <c r="V50" s="65"/>
      <c r="W50" s="46" t="s">
        <v>358</v>
      </c>
      <c r="X50" s="70" t="str">
        <f t="array" ref="X50">IFERROR(INDEX('5.29 Recipe Matrix (Unsorted)'!$C$5:$P$18,MATCH(R50,'5.29 Recipe Matrix (Unsorted)'!$A$5:$A$18,0),MATCH(U50,'5.29 Recipe Matrix (Unsorted)'!$C$3:$P$3,0)),"")</f>
        <v>3 Perks</v>
      </c>
      <c r="Y50" s="65"/>
      <c r="Z50" s="43"/>
    </row>
    <row r="51" spans="1:26" ht="37.5" customHeight="1">
      <c r="A51" s="43"/>
      <c r="B51" s="66" t="str">
        <f ca="1">IFERROR(VLOOKUP(R51,Images!$A:$C,3,FALSE),R51)</f>
        <v>Water</v>
      </c>
      <c r="C51" s="65"/>
      <c r="D51" s="46" t="s">
        <v>357</v>
      </c>
      <c r="E51" s="66" t="str">
        <f ca="1">IFERROR(VLOOKUP(U51,Images!$A:$C,3,FALSE),"")</f>
        <v/>
      </c>
      <c r="F51" s="65"/>
      <c r="G51" s="46" t="s">
        <v>358</v>
      </c>
      <c r="H51" s="64" t="str">
        <f>IFERROR(VLOOKUP(X51,Images!$A:$C,3,FALSE),X51)</f>
        <v>84 Currency</v>
      </c>
      <c r="I51" s="65"/>
      <c r="J51" s="43"/>
      <c r="K51" s="43"/>
      <c r="L51" s="43"/>
      <c r="M51" s="43"/>
      <c r="N51" s="43"/>
      <c r="O51" s="43"/>
      <c r="P51" s="43"/>
      <c r="Q51" s="43"/>
      <c r="R51" s="66" t="str">
        <f t="shared" si="2"/>
        <v>Water</v>
      </c>
      <c r="S51" s="65"/>
      <c r="T51" s="46" t="s">
        <v>357</v>
      </c>
      <c r="U51" s="66" t="str">
        <f>Images!$A$7</f>
        <v>Beetle</v>
      </c>
      <c r="V51" s="65"/>
      <c r="W51" s="46" t="s">
        <v>358</v>
      </c>
      <c r="X51" s="70" t="str">
        <f t="array" ref="X51">IFERROR(INDEX('5.29 Recipe Matrix (Unsorted)'!$C$5:$P$18,MATCH(R51,'5.29 Recipe Matrix (Unsorted)'!$A$5:$A$18,0),MATCH(U51,'5.29 Recipe Matrix (Unsorted)'!$C$3:$P$3,0)),"")</f>
        <v>84 Currency</v>
      </c>
      <c r="Y51" s="65"/>
      <c r="Z51" s="43"/>
    </row>
    <row r="52" spans="1:26" ht="37.5" customHeight="1">
      <c r="A52" s="43"/>
      <c r="B52" s="66" t="str">
        <f ca="1">IFERROR(VLOOKUP(R52,Images!$A:$C,3,FALSE),R52)</f>
        <v>Water</v>
      </c>
      <c r="C52" s="65"/>
      <c r="D52" s="46" t="s">
        <v>357</v>
      </c>
      <c r="E52" s="66" t="str">
        <f ca="1">IFERROR(VLOOKUP(U52,Images!$A:$C,3,FALSE),"")</f>
        <v/>
      </c>
      <c r="F52" s="65"/>
      <c r="G52" s="46" t="s">
        <v>358</v>
      </c>
      <c r="H52" s="64" t="str">
        <f>IFERROR(VLOOKUP(X52,Images!$A:$C,3,FALSE),X52)</f>
        <v/>
      </c>
      <c r="I52" s="65"/>
      <c r="J52" s="43"/>
      <c r="K52" s="43"/>
      <c r="L52" s="43"/>
      <c r="M52" s="43"/>
      <c r="N52" s="43"/>
      <c r="O52" s="43"/>
      <c r="P52" s="43"/>
      <c r="Q52" s="43"/>
      <c r="R52" s="66" t="str">
        <f t="shared" si="2"/>
        <v>Water</v>
      </c>
      <c r="S52" s="65"/>
      <c r="T52" s="46" t="s">
        <v>357</v>
      </c>
      <c r="U52" s="66" t="str">
        <f>Images!$A$8</f>
        <v>Tooth</v>
      </c>
      <c r="V52" s="65"/>
      <c r="W52" s="46" t="s">
        <v>358</v>
      </c>
      <c r="X52" s="70" t="str">
        <f t="array" ref="X52">IFERROR(INDEX('5.29 Recipe Matrix (Unsorted)'!$C$5:$P$18,MATCH(R52,'5.29 Recipe Matrix (Unsorted)'!$A$5:$A$18,0),MATCH(U52,'5.29 Recipe Matrix (Unsorted)'!$C$3:$P$3,0)),"")</f>
        <v/>
      </c>
      <c r="Y52" s="65"/>
      <c r="Z52" s="43"/>
    </row>
    <row r="53" spans="1:26" ht="37.5" customHeight="1">
      <c r="A53" s="43"/>
      <c r="B53" s="66" t="str">
        <f ca="1">IFERROR(VLOOKUP(R53,Images!$A:$C,3,FALSE),R53)</f>
        <v>Water</v>
      </c>
      <c r="C53" s="65"/>
      <c r="D53" s="46" t="s">
        <v>357</v>
      </c>
      <c r="E53" s="66" t="str">
        <f ca="1">IFERROR(VLOOKUP(U53,Images!$A:$C,3,FALSE),"")</f>
        <v/>
      </c>
      <c r="F53" s="65"/>
      <c r="G53" s="46" t="s">
        <v>358</v>
      </c>
      <c r="H53" s="64" t="str">
        <f>IFERROR(VLOOKUP(X53,Images!$A:$C,3,FALSE),X53)</f>
        <v>63 Currency</v>
      </c>
      <c r="I53" s="65"/>
      <c r="J53" s="43"/>
      <c r="K53" s="43"/>
      <c r="L53" s="43"/>
      <c r="M53" s="43"/>
      <c r="N53" s="43"/>
      <c r="O53" s="43"/>
      <c r="P53" s="43"/>
      <c r="Q53" s="43"/>
      <c r="R53" s="66" t="str">
        <f t="shared" si="2"/>
        <v>Water</v>
      </c>
      <c r="S53" s="65"/>
      <c r="T53" s="46" t="s">
        <v>357</v>
      </c>
      <c r="U53" s="66" t="str">
        <f>Images!$A$9</f>
        <v>Flame</v>
      </c>
      <c r="V53" s="65"/>
      <c r="W53" s="46" t="s">
        <v>358</v>
      </c>
      <c r="X53" s="70" t="str">
        <f t="array" ref="X53">IFERROR(INDEX('5.29 Recipe Matrix (Unsorted)'!$C$5:$P$18,MATCH(R53,'5.29 Recipe Matrix (Unsorted)'!$A$5:$A$18,0),MATCH(U53,'5.29 Recipe Matrix (Unsorted)'!$C$3:$P$3,0)),"")</f>
        <v>63 Currency</v>
      </c>
      <c r="Y53" s="65"/>
      <c r="Z53" s="43"/>
    </row>
    <row r="54" spans="1:26" ht="37.5" customHeight="1">
      <c r="A54" s="43"/>
      <c r="B54" s="66" t="str">
        <f ca="1">IFERROR(VLOOKUP(R54,Images!$A:$C,3,FALSE),R54)</f>
        <v>Water</v>
      </c>
      <c r="C54" s="65"/>
      <c r="D54" s="46" t="s">
        <v>357</v>
      </c>
      <c r="E54" s="66" t="str">
        <f ca="1">IFERROR(VLOOKUP(U54,Images!$A:$C,3,FALSE),"")</f>
        <v/>
      </c>
      <c r="F54" s="65"/>
      <c r="G54" s="46" t="s">
        <v>358</v>
      </c>
      <c r="H54" s="64" t="str">
        <f>IFERROR(VLOOKUP(X54,Images!$A:$C,3,FALSE),X54)</f>
        <v>Legendary Equipment (Cinder Grasper)</v>
      </c>
      <c r="I54" s="65"/>
      <c r="J54" s="43"/>
      <c r="K54" s="43"/>
      <c r="L54" s="43"/>
      <c r="M54" s="43"/>
      <c r="N54" s="43"/>
      <c r="O54" s="43"/>
      <c r="P54" s="43"/>
      <c r="Q54" s="43"/>
      <c r="R54" s="66" t="str">
        <f t="shared" si="2"/>
        <v>Water</v>
      </c>
      <c r="S54" s="65"/>
      <c r="T54" s="46" t="s">
        <v>357</v>
      </c>
      <c r="U54" s="66" t="str">
        <f>Images!$A$10</f>
        <v>Steel</v>
      </c>
      <c r="V54" s="65"/>
      <c r="W54" s="46" t="s">
        <v>358</v>
      </c>
      <c r="X54" s="70" t="str">
        <f t="array" ref="X54">IFERROR(INDEX('5.29 Recipe Matrix (Unsorted)'!$C$5:$P$18,MATCH(R54,'5.29 Recipe Matrix (Unsorted)'!$A$5:$A$18,0),MATCH(U54,'5.29 Recipe Matrix (Unsorted)'!$C$3:$P$3,0)),"")</f>
        <v>Legendary Equipment (Cinder Grasper)</v>
      </c>
      <c r="Y54" s="65"/>
      <c r="Z54" s="43"/>
    </row>
    <row r="55" spans="1:26" ht="37.5" customHeight="1">
      <c r="A55" s="43"/>
      <c r="B55" s="66" t="str">
        <f ca="1">IFERROR(VLOOKUP(R55,Images!$A:$C,3,FALSE),R55)</f>
        <v>Water</v>
      </c>
      <c r="C55" s="65"/>
      <c r="D55" s="46" t="s">
        <v>357</v>
      </c>
      <c r="E55" s="66" t="str">
        <f ca="1">IFERROR(VLOOKUP(U55,Images!$A:$C,3,FALSE),"")</f>
        <v/>
      </c>
      <c r="F55" s="65"/>
      <c r="G55" s="46" t="s">
        <v>358</v>
      </c>
      <c r="H55" s="64" t="str">
        <f>IFERROR(VLOOKUP(X55,Images!$A:$C,3,FALSE),X55)</f>
        <v>530 Dust</v>
      </c>
      <c r="I55" s="65"/>
      <c r="J55" s="43"/>
      <c r="K55" s="43"/>
      <c r="L55" s="43"/>
      <c r="M55" s="43"/>
      <c r="N55" s="43"/>
      <c r="O55" s="43"/>
      <c r="P55" s="43"/>
      <c r="Q55" s="43"/>
      <c r="R55" s="66" t="str">
        <f t="shared" si="2"/>
        <v>Water</v>
      </c>
      <c r="S55" s="65"/>
      <c r="T55" s="46" t="s">
        <v>357</v>
      </c>
      <c r="U55" s="66" t="str">
        <f>Images!$A$11</f>
        <v>Scale</v>
      </c>
      <c r="V55" s="65"/>
      <c r="W55" s="46" t="s">
        <v>358</v>
      </c>
      <c r="X55" s="70" t="str">
        <f t="array" ref="X55">IFERROR(INDEX('5.29 Recipe Matrix (Unsorted)'!$C$5:$P$18,MATCH(R55,'5.29 Recipe Matrix (Unsorted)'!$A$5:$A$18,0),MATCH(U55,'5.29 Recipe Matrix (Unsorted)'!$C$3:$P$3,0)),"")</f>
        <v>530 Dust</v>
      </c>
      <c r="Y55" s="65"/>
      <c r="Z55" s="43"/>
    </row>
    <row r="56" spans="1:26" ht="37.5" customHeight="1">
      <c r="A56" s="43"/>
      <c r="B56" s="66" t="str">
        <f ca="1">IFERROR(VLOOKUP(R56,Images!$A:$C,3,FALSE),R56)</f>
        <v>Water</v>
      </c>
      <c r="C56" s="65"/>
      <c r="D56" s="46" t="s">
        <v>357</v>
      </c>
      <c r="E56" s="66" t="str">
        <f ca="1">IFERROR(VLOOKUP(U56,Images!$A:$C,3,FALSE),"")</f>
        <v/>
      </c>
      <c r="F56" s="65"/>
      <c r="G56" s="46" t="s">
        <v>358</v>
      </c>
      <c r="H56" s="64" t="str">
        <f>IFERROR(VLOOKUP(X56,Images!$A:$C,3,FALSE),X56)</f>
        <v>5 Perks</v>
      </c>
      <c r="I56" s="65"/>
      <c r="J56" s="43"/>
      <c r="K56" s="43"/>
      <c r="L56" s="43"/>
      <c r="M56" s="43"/>
      <c r="N56" s="43"/>
      <c r="O56" s="43"/>
      <c r="P56" s="43"/>
      <c r="Q56" s="43"/>
      <c r="R56" s="66" t="str">
        <f t="shared" si="2"/>
        <v>Water</v>
      </c>
      <c r="S56" s="65"/>
      <c r="T56" s="46" t="s">
        <v>357</v>
      </c>
      <c r="U56" s="66" t="str">
        <f>Images!$A$12</f>
        <v>Essence</v>
      </c>
      <c r="V56" s="65"/>
      <c r="W56" s="46" t="s">
        <v>358</v>
      </c>
      <c r="X56" s="70" t="str">
        <f t="array" ref="X56">IFERROR(INDEX('5.29 Recipe Matrix (Unsorted)'!$C$5:$P$18,MATCH(R56,'5.29 Recipe Matrix (Unsorted)'!$A$5:$A$18,0),MATCH(U56,'5.29 Recipe Matrix (Unsorted)'!$C$3:$P$3,0)),"")</f>
        <v>5 Perks</v>
      </c>
      <c r="Y56" s="65"/>
      <c r="Z56" s="43"/>
    </row>
    <row r="57" spans="1:26" ht="37.5" customHeight="1">
      <c r="A57" s="43"/>
      <c r="B57" s="66" t="str">
        <f ca="1">IFERROR(VLOOKUP(R57,Images!$A:$C,3,FALSE),R57)</f>
        <v>Water</v>
      </c>
      <c r="C57" s="65"/>
      <c r="D57" s="46" t="s">
        <v>357</v>
      </c>
      <c r="E57" s="66" t="str">
        <f ca="1">IFERROR(VLOOKUP(U57,Images!$A:$C,3,FALSE),"")</f>
        <v/>
      </c>
      <c r="F57" s="65"/>
      <c r="G57" s="46" t="s">
        <v>358</v>
      </c>
      <c r="H57" s="64" t="str">
        <f>IFERROR(VLOOKUP(X57,Images!$A:$C,3,FALSE),X57)</f>
        <v>6 Perks</v>
      </c>
      <c r="I57" s="65"/>
      <c r="J57" s="43"/>
      <c r="K57" s="43"/>
      <c r="L57" s="43"/>
      <c r="M57" s="43"/>
      <c r="N57" s="43"/>
      <c r="O57" s="43"/>
      <c r="P57" s="43"/>
      <c r="Q57" s="43"/>
      <c r="R57" s="66" t="str">
        <f t="shared" si="2"/>
        <v>Water</v>
      </c>
      <c r="S57" s="65"/>
      <c r="T57" s="46" t="s">
        <v>357</v>
      </c>
      <c r="U57" s="66" t="str">
        <f>Images!$A$13</f>
        <v>Power</v>
      </c>
      <c r="V57" s="65"/>
      <c r="W57" s="46" t="s">
        <v>358</v>
      </c>
      <c r="X57" s="70" t="str">
        <f t="array" ref="X57">IFERROR(INDEX('5.29 Recipe Matrix (Unsorted)'!$C$5:$P$18,MATCH(R57,'5.29 Recipe Matrix (Unsorted)'!$A$5:$A$18,0),MATCH(U57,'5.29 Recipe Matrix (Unsorted)'!$C$3:$P$3,0)),"")</f>
        <v>6 Perks</v>
      </c>
      <c r="Y57" s="65"/>
      <c r="Z57" s="43"/>
    </row>
    <row r="58" spans="1:26" ht="37.5" customHeight="1">
      <c r="A58" s="43"/>
      <c r="B58" s="66" t="str">
        <f ca="1">IFERROR(VLOOKUP(R58,Images!$A:$C,3,FALSE),R58)</f>
        <v>Water</v>
      </c>
      <c r="C58" s="65"/>
      <c r="D58" s="46" t="s">
        <v>357</v>
      </c>
      <c r="E58" s="66" t="str">
        <f ca="1">IFERROR(VLOOKUP(U58,Images!$A:$C,3,FALSE),"")</f>
        <v/>
      </c>
      <c r="F58" s="65"/>
      <c r="G58" s="46" t="s">
        <v>358</v>
      </c>
      <c r="H58" s="64" t="str">
        <f>IFERROR(VLOOKUP(X58,Images!$A:$C,3,FALSE),X58)</f>
        <v/>
      </c>
      <c r="I58" s="65"/>
      <c r="J58" s="43"/>
      <c r="K58" s="43"/>
      <c r="L58" s="43"/>
      <c r="M58" s="43"/>
      <c r="N58" s="43"/>
      <c r="O58" s="43"/>
      <c r="P58" s="43"/>
      <c r="Q58" s="43"/>
      <c r="R58" s="66" t="str">
        <f t="shared" si="2"/>
        <v>Water</v>
      </c>
      <c r="S58" s="65"/>
      <c r="T58" s="46" t="s">
        <v>357</v>
      </c>
      <c r="U58" s="66" t="str">
        <f>Images!$A$14</f>
        <v>Shadow</v>
      </c>
      <c r="V58" s="65"/>
      <c r="W58" s="46" t="s">
        <v>358</v>
      </c>
      <c r="X58" s="70" t="str">
        <f t="array" ref="X58">IFERROR(INDEX('5.29 Recipe Matrix (Unsorted)'!$C$5:$P$18,MATCH(R58,'5.29 Recipe Matrix (Unsorted)'!$A$5:$A$18,0),MATCH(U58,'5.29 Recipe Matrix (Unsorted)'!$C$3:$P$3,0)),"")</f>
        <v/>
      </c>
      <c r="Y58" s="65"/>
      <c r="Z58" s="43"/>
    </row>
    <row r="59" spans="1:26" ht="37.5" customHeight="1">
      <c r="A59" s="43"/>
      <c r="B59" s="66" t="str">
        <f ca="1">IFERROR(VLOOKUP(R59,Images!$A:$C,3,FALSE),R59)</f>
        <v>Water</v>
      </c>
      <c r="C59" s="65"/>
      <c r="D59" s="46" t="s">
        <v>357</v>
      </c>
      <c r="E59" s="66" t="str">
        <f ca="1">IFERROR(VLOOKUP(U59,Images!$A:$C,3,FALSE),"")</f>
        <v/>
      </c>
      <c r="F59" s="65"/>
      <c r="G59" s="46" t="s">
        <v>358</v>
      </c>
      <c r="H59" s="64" t="str">
        <f>IFERROR(VLOOKUP(X59,Images!$A:$C,3,FALSE),X59)</f>
        <v/>
      </c>
      <c r="I59" s="65"/>
      <c r="J59" s="43"/>
      <c r="K59" s="43"/>
      <c r="L59" s="43"/>
      <c r="M59" s="43"/>
      <c r="N59" s="43"/>
      <c r="O59" s="43"/>
      <c r="P59" s="43"/>
      <c r="Q59" s="43"/>
      <c r="R59" s="66" t="str">
        <f t="shared" si="2"/>
        <v>Water</v>
      </c>
      <c r="S59" s="65"/>
      <c r="T59" s="46" t="s">
        <v>357</v>
      </c>
      <c r="U59" s="66" t="str">
        <f>Images!$A$15</f>
        <v>Spirit</v>
      </c>
      <c r="V59" s="65"/>
      <c r="W59" s="46" t="s">
        <v>358</v>
      </c>
      <c r="X59" s="70" t="str">
        <f t="array" ref="X59">IFERROR(INDEX('5.29 Recipe Matrix (Unsorted)'!$C$5:$P$18,MATCH(R59,'5.29 Recipe Matrix (Unsorted)'!$A$5:$A$18,0),MATCH(U59,'5.29 Recipe Matrix (Unsorted)'!$C$3:$P$3,0)),"")</f>
        <v/>
      </c>
      <c r="Y59" s="65"/>
      <c r="Z59" s="43"/>
    </row>
    <row r="60" spans="1:26" ht="37.5" customHeight="1">
      <c r="A60" s="43"/>
      <c r="B60" s="43"/>
      <c r="C60" s="43"/>
      <c r="D60" s="43"/>
      <c r="E60" s="43"/>
      <c r="F60" s="43"/>
      <c r="G60" s="43"/>
      <c r="H60" s="67" t="str">
        <f>HYPERLINK("https://docs.google.com/spreadsheets/d/1o95Ipwx6NIyFV3LCz9LGNbH9_WELHF-pbpkM31YwXyY/edit#gid=0&amp;range=A1","Back to Top")</f>
        <v>Back to Top</v>
      </c>
      <c r="I60" s="65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67" t="str">
        <f>HYPERLINK("https://docs.google.com/spreadsheets/d/1o95Ipwx6NIyFV3LCz9LGNbH9_WELHF-pbpkM31YwXyY/edit#gid=0&amp;range=A1","Back to Top")</f>
        <v>Back to Top</v>
      </c>
      <c r="Y60" s="65"/>
      <c r="Z60" s="43"/>
    </row>
    <row r="61" spans="1:26" ht="37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37.5" customHeight="1">
      <c r="A62" s="43"/>
      <c r="B62" s="68" t="str">
        <f>R62</f>
        <v>Lightning Recipes</v>
      </c>
      <c r="C62" s="69"/>
      <c r="D62" s="69"/>
      <c r="E62" s="69"/>
      <c r="F62" s="69"/>
      <c r="G62" s="69"/>
      <c r="H62" s="69"/>
      <c r="I62" s="65"/>
      <c r="J62" s="43"/>
      <c r="K62" s="43"/>
      <c r="L62" s="43"/>
      <c r="M62" s="43"/>
      <c r="N62" s="43"/>
      <c r="O62" s="43"/>
      <c r="P62" s="43"/>
      <c r="Q62" s="43"/>
      <c r="R62" s="68" t="str">
        <f>R63 &amp; " Recipes"</f>
        <v>Lightning Recipes</v>
      </c>
      <c r="S62" s="69"/>
      <c r="T62" s="69"/>
      <c r="U62" s="69"/>
      <c r="V62" s="69"/>
      <c r="W62" s="69"/>
      <c r="X62" s="69"/>
      <c r="Y62" s="65"/>
      <c r="Z62" s="43"/>
    </row>
    <row r="63" spans="1:26" ht="37.5" customHeight="1">
      <c r="A63" s="43"/>
      <c r="B63" s="66" t="str">
        <f ca="1">IFERROR(VLOOKUP(R63,Images!$A:$C,3,FALSE),R63)</f>
        <v>Lightning</v>
      </c>
      <c r="C63" s="65"/>
      <c r="D63" s="46" t="s">
        <v>357</v>
      </c>
      <c r="E63" s="66" t="str">
        <f ca="1">IFERROR(VLOOKUP(U63,Images!$A:$C,3,FALSE),"")</f>
        <v/>
      </c>
      <c r="F63" s="65"/>
      <c r="G63" s="46" t="s">
        <v>358</v>
      </c>
      <c r="H63" s="64" t="str">
        <f>IFERROR(VLOOKUP(X63,Images!$A:$C,3,FALSE),X63)</f>
        <v>3 Hero Weapons</v>
      </c>
      <c r="I63" s="65"/>
      <c r="J63" s="43"/>
      <c r="K63" s="43"/>
      <c r="L63" s="43"/>
      <c r="M63" s="43"/>
      <c r="N63" s="43"/>
      <c r="O63" s="43"/>
      <c r="P63" s="43"/>
      <c r="Q63" s="43"/>
      <c r="R63" s="66" t="str">
        <f>Images!$A$5</f>
        <v>Lightning</v>
      </c>
      <c r="S63" s="65"/>
      <c r="T63" s="46" t="s">
        <v>357</v>
      </c>
      <c r="U63" s="66" t="str">
        <f>Images!$A$2</f>
        <v>Leaf</v>
      </c>
      <c r="V63" s="65"/>
      <c r="W63" s="46" t="s">
        <v>358</v>
      </c>
      <c r="X63" s="70" t="str">
        <f t="array" ref="X63">IFERROR(INDEX('5.29 Recipe Matrix (Unsorted)'!$C$5:$P$18,MATCH(R63,'5.29 Recipe Matrix (Unsorted)'!$A$5:$A$18,0),MATCH(U63,'5.29 Recipe Matrix (Unsorted)'!$C$3:$P$3,0)),"")</f>
        <v>3 Hero Weapons</v>
      </c>
      <c r="Y63" s="65"/>
      <c r="Z63" s="43"/>
    </row>
    <row r="64" spans="1:26" ht="37.5" customHeight="1">
      <c r="A64" s="43"/>
      <c r="B64" s="66" t="str">
        <f ca="1">IFERROR(VLOOKUP(R64,Images!$A:$C,3,FALSE),R64)</f>
        <v>Lightning</v>
      </c>
      <c r="C64" s="65"/>
      <c r="D64" s="46" t="s">
        <v>357</v>
      </c>
      <c r="E64" s="66" t="str">
        <f ca="1">IFERROR(VLOOKUP(U64,Images!$A:$C,3,FALSE),"")</f>
        <v/>
      </c>
      <c r="F64" s="65"/>
      <c r="G64" s="46" t="s">
        <v>358</v>
      </c>
      <c r="H64" s="64" t="str">
        <f>IFERROR(VLOOKUP(X64,Images!$A:$C,3,FALSE),X64)</f>
        <v/>
      </c>
      <c r="I64" s="65"/>
      <c r="J64" s="43"/>
      <c r="K64" s="43"/>
      <c r="L64" s="43"/>
      <c r="M64" s="43"/>
      <c r="N64" s="43"/>
      <c r="O64" s="43"/>
      <c r="P64" s="43"/>
      <c r="Q64" s="43"/>
      <c r="R64" s="66" t="str">
        <f t="shared" ref="R64:R76" si="3">R63</f>
        <v>Lightning</v>
      </c>
      <c r="S64" s="65"/>
      <c r="T64" s="46" t="s">
        <v>357</v>
      </c>
      <c r="U64" s="66" t="str">
        <f>Images!$A$3</f>
        <v>Sand</v>
      </c>
      <c r="V64" s="65"/>
      <c r="W64" s="46" t="s">
        <v>358</v>
      </c>
      <c r="X64" s="70" t="str">
        <f t="array" ref="X64">IFERROR(INDEX('5.29 Recipe Matrix (Unsorted)'!$C$5:$P$18,MATCH(R64,'5.29 Recipe Matrix (Unsorted)'!$A$5:$A$18,0),MATCH(U64,'5.29 Recipe Matrix (Unsorted)'!$C$3:$P$3,0)),"")</f>
        <v/>
      </c>
      <c r="Y64" s="65"/>
      <c r="Z64" s="43"/>
    </row>
    <row r="65" spans="1:26" ht="37.5" customHeight="1">
      <c r="A65" s="43"/>
      <c r="B65" s="66" t="str">
        <f ca="1">IFERROR(VLOOKUP(R65,Images!$A:$C,3,FALSE),R65)</f>
        <v>Lightning</v>
      </c>
      <c r="C65" s="65"/>
      <c r="D65" s="46" t="s">
        <v>357</v>
      </c>
      <c r="E65" s="66" t="str">
        <f ca="1">IFERROR(VLOOKUP(U65,Images!$A:$C,3,FALSE),"")</f>
        <v/>
      </c>
      <c r="F65" s="65"/>
      <c r="G65" s="46" t="s">
        <v>358</v>
      </c>
      <c r="H65" s="64" t="str">
        <f>IFERROR(VLOOKUP(X65,Images!$A:$C,3,FALSE),X65)</f>
        <v>5 Hero Weapons</v>
      </c>
      <c r="I65" s="65"/>
      <c r="J65" s="43"/>
      <c r="K65" s="43"/>
      <c r="L65" s="43"/>
      <c r="M65" s="43"/>
      <c r="N65" s="43"/>
      <c r="O65" s="43"/>
      <c r="P65" s="43"/>
      <c r="Q65" s="43"/>
      <c r="R65" s="66" t="str">
        <f t="shared" si="3"/>
        <v>Lightning</v>
      </c>
      <c r="S65" s="65"/>
      <c r="T65" s="46" t="s">
        <v>357</v>
      </c>
      <c r="U65" s="66" t="str">
        <f>Images!$A$4</f>
        <v>Water</v>
      </c>
      <c r="V65" s="65"/>
      <c r="W65" s="46" t="s">
        <v>358</v>
      </c>
      <c r="X65" s="70" t="str">
        <f t="array" ref="X65">IFERROR(INDEX('5.29 Recipe Matrix (Unsorted)'!$C$5:$P$18,MATCH(R65,'5.29 Recipe Matrix (Unsorted)'!$A$5:$A$18,0),MATCH(U65,'5.29 Recipe Matrix (Unsorted)'!$C$3:$P$3,0)),"")</f>
        <v>5 Hero Weapons</v>
      </c>
      <c r="Y65" s="65"/>
      <c r="Z65" s="43"/>
    </row>
    <row r="66" spans="1:26" ht="37.5" customHeight="1">
      <c r="A66" s="43"/>
      <c r="B66" s="66" t="str">
        <f ca="1">IFERROR(VLOOKUP(R66,Images!$A:$C,3,FALSE),R66)</f>
        <v>Lightning</v>
      </c>
      <c r="C66" s="65"/>
      <c r="D66" s="46" t="s">
        <v>357</v>
      </c>
      <c r="E66" s="66" t="str">
        <f ca="1">IFERROR(VLOOKUP(U66,Images!$A:$C,3,FALSE),"")</f>
        <v/>
      </c>
      <c r="F66" s="65"/>
      <c r="G66" s="46" t="s">
        <v>358</v>
      </c>
      <c r="H66" s="64" t="str">
        <f ca="1">IFERROR(VLOOKUP(X66,Images!$A:$C,3,FALSE),X66)</f>
        <v/>
      </c>
      <c r="I66" s="65"/>
      <c r="J66" s="43"/>
      <c r="K66" s="43"/>
      <c r="L66" s="43"/>
      <c r="M66" s="43"/>
      <c r="N66" s="43"/>
      <c r="O66" s="43"/>
      <c r="P66" s="43"/>
      <c r="Q66" s="43"/>
      <c r="R66" s="66" t="str">
        <f t="shared" si="3"/>
        <v>Lightning</v>
      </c>
      <c r="S66" s="65"/>
      <c r="T66" s="46" t="s">
        <v>357</v>
      </c>
      <c r="U66" s="66" t="str">
        <f>Images!$A$5</f>
        <v>Lightning</v>
      </c>
      <c r="V66" s="65"/>
      <c r="W66" s="46" t="s">
        <v>358</v>
      </c>
      <c r="X66" s="70" t="str">
        <f t="array" aca="1" ref="X66" ca="1">IFERROR(INDEX('5.29 Recipe Matrix (Unsorted)'!$C$5:$P$18,MATCH(R66,'5.29 Recipe Matrix (Unsorted)'!$A$5:$A$18,0),MATCH(U66,'5.29 Recipe Matrix (Unsorted)'!$C$3:$P$3,0)),"")</f>
        <v/>
      </c>
      <c r="Y66" s="65"/>
      <c r="Z66" s="43"/>
    </row>
    <row r="67" spans="1:26" ht="37.5" customHeight="1">
      <c r="A67" s="43"/>
      <c r="B67" s="66" t="str">
        <f ca="1">IFERROR(VLOOKUP(R67,Images!$A:$C,3,FALSE),R67)</f>
        <v>Lightning</v>
      </c>
      <c r="C67" s="65"/>
      <c r="D67" s="46" t="s">
        <v>357</v>
      </c>
      <c r="E67" s="66" t="str">
        <f ca="1">IFERROR(VLOOKUP(U67,Images!$A:$C,3,FALSE),"")</f>
        <v/>
      </c>
      <c r="F67" s="65"/>
      <c r="G67" s="46" t="s">
        <v>358</v>
      </c>
      <c r="H67" s="64" t="str">
        <f>IFERROR(VLOOKUP(X67,Images!$A:$C,3,FALSE),X67)</f>
        <v>70 Currency</v>
      </c>
      <c r="I67" s="65"/>
      <c r="J67" s="43"/>
      <c r="K67" s="43"/>
      <c r="L67" s="43"/>
      <c r="M67" s="43"/>
      <c r="N67" s="43"/>
      <c r="O67" s="43"/>
      <c r="P67" s="43"/>
      <c r="Q67" s="43"/>
      <c r="R67" s="66" t="str">
        <f t="shared" si="3"/>
        <v>Lightning</v>
      </c>
      <c r="S67" s="65"/>
      <c r="T67" s="46" t="s">
        <v>357</v>
      </c>
      <c r="U67" s="66" t="str">
        <f>Images!$A$6</f>
        <v>Poison</v>
      </c>
      <c r="V67" s="65"/>
      <c r="W67" s="46" t="s">
        <v>358</v>
      </c>
      <c r="X67" s="70" t="str">
        <f t="array" ref="X67">IFERROR(INDEX('5.29 Recipe Matrix (Unsorted)'!$C$5:$P$18,MATCH(R67,'5.29 Recipe Matrix (Unsorted)'!$A$5:$A$18,0),MATCH(U67,'5.29 Recipe Matrix (Unsorted)'!$C$3:$P$3,0)),"")</f>
        <v>70 Currency</v>
      </c>
      <c r="Y67" s="65"/>
      <c r="Z67" s="43"/>
    </row>
    <row r="68" spans="1:26" ht="37.5" customHeight="1">
      <c r="A68" s="43"/>
      <c r="B68" s="66" t="str">
        <f ca="1">IFERROR(VLOOKUP(R68,Images!$A:$C,3,FALSE),R68)</f>
        <v>Lightning</v>
      </c>
      <c r="C68" s="65"/>
      <c r="D68" s="46" t="s">
        <v>357</v>
      </c>
      <c r="E68" s="66" t="str">
        <f ca="1">IFERROR(VLOOKUP(U68,Images!$A:$C,3,FALSE),"")</f>
        <v/>
      </c>
      <c r="F68" s="65"/>
      <c r="G68" s="46" t="s">
        <v>358</v>
      </c>
      <c r="H68" s="64" t="str">
        <f>IFERROR(VLOOKUP(X68,Images!$A:$C,3,FALSE),X68)</f>
        <v>111 Currency</v>
      </c>
      <c r="I68" s="65"/>
      <c r="J68" s="43"/>
      <c r="K68" s="43"/>
      <c r="L68" s="43"/>
      <c r="M68" s="43"/>
      <c r="N68" s="43"/>
      <c r="O68" s="43"/>
      <c r="P68" s="43"/>
      <c r="Q68" s="43"/>
      <c r="R68" s="66" t="str">
        <f t="shared" si="3"/>
        <v>Lightning</v>
      </c>
      <c r="S68" s="65"/>
      <c r="T68" s="46" t="s">
        <v>357</v>
      </c>
      <c r="U68" s="66" t="str">
        <f>Images!$A$7</f>
        <v>Beetle</v>
      </c>
      <c r="V68" s="65"/>
      <c r="W68" s="46" t="s">
        <v>358</v>
      </c>
      <c r="X68" s="70" t="str">
        <f t="array" ref="X68">IFERROR(INDEX('5.29 Recipe Matrix (Unsorted)'!$C$5:$P$18,MATCH(R68,'5.29 Recipe Matrix (Unsorted)'!$A$5:$A$18,0),MATCH(U68,'5.29 Recipe Matrix (Unsorted)'!$C$3:$P$3,0)),"")</f>
        <v>111 Currency</v>
      </c>
      <c r="Y68" s="65"/>
      <c r="Z68" s="43"/>
    </row>
    <row r="69" spans="1:26" ht="37.5" customHeight="1">
      <c r="A69" s="43"/>
      <c r="B69" s="66" t="str">
        <f ca="1">IFERROR(VLOOKUP(R69,Images!$A:$C,3,FALSE),R69)</f>
        <v>Lightning</v>
      </c>
      <c r="C69" s="65"/>
      <c r="D69" s="46" t="s">
        <v>357</v>
      </c>
      <c r="E69" s="66" t="str">
        <f ca="1">IFERROR(VLOOKUP(U69,Images!$A:$C,3,FALSE),"")</f>
        <v/>
      </c>
      <c r="F69" s="65"/>
      <c r="G69" s="46" t="s">
        <v>358</v>
      </c>
      <c r="H69" s="64" t="str">
        <f>IFERROR(VLOOKUP(X69,Images!$A:$C,3,FALSE),X69)</f>
        <v/>
      </c>
      <c r="I69" s="65"/>
      <c r="J69" s="43"/>
      <c r="K69" s="43"/>
      <c r="L69" s="43"/>
      <c r="M69" s="43"/>
      <c r="N69" s="43"/>
      <c r="O69" s="43"/>
      <c r="P69" s="43"/>
      <c r="Q69" s="43"/>
      <c r="R69" s="66" t="str">
        <f t="shared" si="3"/>
        <v>Lightning</v>
      </c>
      <c r="S69" s="65"/>
      <c r="T69" s="46" t="s">
        <v>357</v>
      </c>
      <c r="U69" s="66" t="str">
        <f>Images!$A$8</f>
        <v>Tooth</v>
      </c>
      <c r="V69" s="65"/>
      <c r="W69" s="46" t="s">
        <v>358</v>
      </c>
      <c r="X69" s="70" t="str">
        <f t="array" ref="X69">IFERROR(INDEX('5.29 Recipe Matrix (Unsorted)'!$C$5:$P$18,MATCH(R69,'5.29 Recipe Matrix (Unsorted)'!$A$5:$A$18,0),MATCH(U69,'5.29 Recipe Matrix (Unsorted)'!$C$3:$P$3,0)),"")</f>
        <v/>
      </c>
      <c r="Y69" s="65"/>
      <c r="Z69" s="43"/>
    </row>
    <row r="70" spans="1:26" ht="37.5" customHeight="1">
      <c r="A70" s="43"/>
      <c r="B70" s="66" t="str">
        <f ca="1">IFERROR(VLOOKUP(R70,Images!$A:$C,3,FALSE),R70)</f>
        <v>Lightning</v>
      </c>
      <c r="C70" s="65"/>
      <c r="D70" s="46" t="s">
        <v>357</v>
      </c>
      <c r="E70" s="66" t="str">
        <f ca="1">IFERROR(VLOOKUP(U70,Images!$A:$C,3,FALSE),"")</f>
        <v/>
      </c>
      <c r="F70" s="65"/>
      <c r="G70" s="46" t="s">
        <v>358</v>
      </c>
      <c r="H70" s="64" t="str">
        <f>IFERROR(VLOOKUP(X70,Images!$A:$C,3,FALSE),X70)</f>
        <v>90 Currency</v>
      </c>
      <c r="I70" s="65"/>
      <c r="J70" s="43"/>
      <c r="K70" s="43"/>
      <c r="L70" s="43"/>
      <c r="M70" s="43"/>
      <c r="N70" s="43"/>
      <c r="O70" s="43"/>
      <c r="P70" s="43"/>
      <c r="Q70" s="43"/>
      <c r="R70" s="66" t="str">
        <f t="shared" si="3"/>
        <v>Lightning</v>
      </c>
      <c r="S70" s="65"/>
      <c r="T70" s="46" t="s">
        <v>357</v>
      </c>
      <c r="U70" s="66" t="str">
        <f>Images!$A$9</f>
        <v>Flame</v>
      </c>
      <c r="V70" s="65"/>
      <c r="W70" s="46" t="s">
        <v>358</v>
      </c>
      <c r="X70" s="70" t="str">
        <f t="array" ref="X70">IFERROR(INDEX('5.29 Recipe Matrix (Unsorted)'!$C$5:$P$18,MATCH(R70,'5.29 Recipe Matrix (Unsorted)'!$A$5:$A$18,0),MATCH(U70,'5.29 Recipe Matrix (Unsorted)'!$C$3:$P$3,0)),"")</f>
        <v>90 Currency</v>
      </c>
      <c r="Y70" s="65"/>
      <c r="Z70" s="43"/>
    </row>
    <row r="71" spans="1:26" ht="37.5" customHeight="1">
      <c r="A71" s="43"/>
      <c r="B71" s="66" t="str">
        <f ca="1">IFERROR(VLOOKUP(R71,Images!$A:$C,3,FALSE),R71)</f>
        <v>Lightning</v>
      </c>
      <c r="C71" s="65"/>
      <c r="D71" s="46" t="s">
        <v>357</v>
      </c>
      <c r="E71" s="66" t="str">
        <f ca="1">IFERROR(VLOOKUP(U71,Images!$A:$C,3,FALSE),"")</f>
        <v/>
      </c>
      <c r="F71" s="65"/>
      <c r="G71" s="46" t="s">
        <v>358</v>
      </c>
      <c r="H71" s="64" t="str">
        <f>IFERROR(VLOOKUP(X71,Images!$A:$C,3,FALSE),X71)</f>
        <v>8 Fortune Weapons</v>
      </c>
      <c r="I71" s="65"/>
      <c r="J71" s="43"/>
      <c r="K71" s="43"/>
      <c r="L71" s="43"/>
      <c r="M71" s="43"/>
      <c r="N71" s="43"/>
      <c r="O71" s="43"/>
      <c r="P71" s="43"/>
      <c r="Q71" s="43"/>
      <c r="R71" s="66" t="str">
        <f t="shared" si="3"/>
        <v>Lightning</v>
      </c>
      <c r="S71" s="65"/>
      <c r="T71" s="46" t="s">
        <v>357</v>
      </c>
      <c r="U71" s="66" t="str">
        <f>Images!$A$10</f>
        <v>Steel</v>
      </c>
      <c r="V71" s="65"/>
      <c r="W71" s="46" t="s">
        <v>358</v>
      </c>
      <c r="X71" s="70" t="str">
        <f t="array" ref="X71">IFERROR(INDEX('5.29 Recipe Matrix (Unsorted)'!$C$5:$P$18,MATCH(R71,'5.29 Recipe Matrix (Unsorted)'!$A$5:$A$18,0),MATCH(U71,'5.29 Recipe Matrix (Unsorted)'!$C$3:$P$3,0)),"")</f>
        <v>8 Fortune Weapons</v>
      </c>
      <c r="Y71" s="65"/>
      <c r="Z71" s="43"/>
    </row>
    <row r="72" spans="1:26" ht="37.5" customHeight="1">
      <c r="A72" s="43"/>
      <c r="B72" s="66" t="str">
        <f ca="1">IFERROR(VLOOKUP(R72,Images!$A:$C,3,FALSE),R72)</f>
        <v>Lightning</v>
      </c>
      <c r="C72" s="65"/>
      <c r="D72" s="46" t="s">
        <v>357</v>
      </c>
      <c r="E72" s="66" t="str">
        <f ca="1">IFERROR(VLOOKUP(U72,Images!$A:$C,3,FALSE),"")</f>
        <v/>
      </c>
      <c r="F72" s="65"/>
      <c r="G72" s="46" t="s">
        <v>358</v>
      </c>
      <c r="H72" s="64" t="str">
        <f>IFERROR(VLOOKUP(X72,Images!$A:$C,3,FALSE),X72)</f>
        <v>133 Currency</v>
      </c>
      <c r="I72" s="65"/>
      <c r="J72" s="43"/>
      <c r="K72" s="43"/>
      <c r="L72" s="43"/>
      <c r="M72" s="43"/>
      <c r="N72" s="43"/>
      <c r="O72" s="43"/>
      <c r="P72" s="43"/>
      <c r="Q72" s="43"/>
      <c r="R72" s="66" t="str">
        <f t="shared" si="3"/>
        <v>Lightning</v>
      </c>
      <c r="S72" s="65"/>
      <c r="T72" s="46" t="s">
        <v>357</v>
      </c>
      <c r="U72" s="66" t="str">
        <f>Images!$A$11</f>
        <v>Scale</v>
      </c>
      <c r="V72" s="65"/>
      <c r="W72" s="46" t="s">
        <v>358</v>
      </c>
      <c r="X72" s="70" t="str">
        <f t="array" ref="X72">IFERROR(INDEX('5.29 Recipe Matrix (Unsorted)'!$C$5:$P$18,MATCH(R72,'5.29 Recipe Matrix (Unsorted)'!$A$5:$A$18,0),MATCH(U72,'5.29 Recipe Matrix (Unsorted)'!$C$3:$P$3,0)),"")</f>
        <v>133 Currency</v>
      </c>
      <c r="Y72" s="65"/>
      <c r="Z72" s="43"/>
    </row>
    <row r="73" spans="1:26" ht="37.5" customHeight="1">
      <c r="A73" s="43"/>
      <c r="B73" s="66" t="str">
        <f ca="1">IFERROR(VLOOKUP(R73,Images!$A:$C,3,FALSE),R73)</f>
        <v>Lightning</v>
      </c>
      <c r="C73" s="65"/>
      <c r="D73" s="46" t="s">
        <v>357</v>
      </c>
      <c r="E73" s="66" t="str">
        <f ca="1">IFERROR(VLOOKUP(U73,Images!$A:$C,3,FALSE),"")</f>
        <v/>
      </c>
      <c r="F73" s="65"/>
      <c r="G73" s="46" t="s">
        <v>358</v>
      </c>
      <c r="H73" s="64" t="str">
        <f>IFERROR(VLOOKUP(X73,Images!$A:$C,3,FALSE),X73)</f>
        <v>5 Fortune Weapons</v>
      </c>
      <c r="I73" s="65"/>
      <c r="J73" s="43"/>
      <c r="K73" s="43"/>
      <c r="L73" s="43"/>
      <c r="M73" s="43"/>
      <c r="N73" s="43"/>
      <c r="O73" s="43"/>
      <c r="P73" s="43"/>
      <c r="Q73" s="43"/>
      <c r="R73" s="66" t="str">
        <f t="shared" si="3"/>
        <v>Lightning</v>
      </c>
      <c r="S73" s="65"/>
      <c r="T73" s="46" t="s">
        <v>357</v>
      </c>
      <c r="U73" s="66" t="str">
        <f>Images!$A$12</f>
        <v>Essence</v>
      </c>
      <c r="V73" s="65"/>
      <c r="W73" s="46" t="s">
        <v>358</v>
      </c>
      <c r="X73" s="70" t="str">
        <f t="array" ref="X73">IFERROR(INDEX('5.29 Recipe Matrix (Unsorted)'!$C$5:$P$18,MATCH(R73,'5.29 Recipe Matrix (Unsorted)'!$A$5:$A$18,0),MATCH(U73,'5.29 Recipe Matrix (Unsorted)'!$C$3:$P$3,0)),"")</f>
        <v>5 Fortune Weapons</v>
      </c>
      <c r="Y73" s="65"/>
      <c r="Z73" s="43"/>
    </row>
    <row r="74" spans="1:26" ht="37.5" customHeight="1">
      <c r="A74" s="43"/>
      <c r="B74" s="66" t="str">
        <f ca="1">IFERROR(VLOOKUP(R74,Images!$A:$C,3,FALSE),R74)</f>
        <v>Lightning</v>
      </c>
      <c r="C74" s="65"/>
      <c r="D74" s="46" t="s">
        <v>357</v>
      </c>
      <c r="E74" s="66" t="str">
        <f ca="1">IFERROR(VLOOKUP(U74,Images!$A:$C,3,FALSE),"")</f>
        <v/>
      </c>
      <c r="F74" s="65"/>
      <c r="G74" s="46" t="s">
        <v>358</v>
      </c>
      <c r="H74" s="64" t="str">
        <f>IFERROR(VLOOKUP(X74,Images!$A:$C,3,FALSE),X74)</f>
        <v>x6 Fortune Weapons</v>
      </c>
      <c r="I74" s="65"/>
      <c r="J74" s="43"/>
      <c r="K74" s="43"/>
      <c r="L74" s="43"/>
      <c r="M74" s="43"/>
      <c r="N74" s="43"/>
      <c r="O74" s="43"/>
      <c r="P74" s="43"/>
      <c r="Q74" s="43"/>
      <c r="R74" s="66" t="str">
        <f t="shared" si="3"/>
        <v>Lightning</v>
      </c>
      <c r="S74" s="65"/>
      <c r="T74" s="46" t="s">
        <v>357</v>
      </c>
      <c r="U74" s="66" t="str">
        <f>Images!$A$13</f>
        <v>Power</v>
      </c>
      <c r="V74" s="65"/>
      <c r="W74" s="46" t="s">
        <v>358</v>
      </c>
      <c r="X74" s="70" t="str">
        <f t="array" ref="X74">IFERROR(INDEX('5.29 Recipe Matrix (Unsorted)'!$C$5:$P$18,MATCH(R74,'5.29 Recipe Matrix (Unsorted)'!$A$5:$A$18,0),MATCH(U74,'5.29 Recipe Matrix (Unsorted)'!$C$3:$P$3,0)),"")</f>
        <v>x6 Fortune Weapons</v>
      </c>
      <c r="Y74" s="65"/>
      <c r="Z74" s="43"/>
    </row>
    <row r="75" spans="1:26" ht="37.5" customHeight="1">
      <c r="A75" s="43"/>
      <c r="B75" s="66" t="str">
        <f ca="1">IFERROR(VLOOKUP(R75,Images!$A:$C,3,FALSE),R75)</f>
        <v>Lightning</v>
      </c>
      <c r="C75" s="65"/>
      <c r="D75" s="46" t="s">
        <v>357</v>
      </c>
      <c r="E75" s="66" t="str">
        <f ca="1">IFERROR(VLOOKUP(U75,Images!$A:$C,3,FALSE),"")</f>
        <v/>
      </c>
      <c r="F75" s="65"/>
      <c r="G75" s="46" t="s">
        <v>358</v>
      </c>
      <c r="H75" s="64" t="str">
        <f>IFERROR(VLOOKUP(X75,Images!$A:$C,3,FALSE),X75)</f>
        <v/>
      </c>
      <c r="I75" s="65"/>
      <c r="J75" s="43"/>
      <c r="K75" s="43"/>
      <c r="L75" s="43"/>
      <c r="M75" s="43"/>
      <c r="N75" s="43"/>
      <c r="O75" s="43"/>
      <c r="P75" s="43"/>
      <c r="Q75" s="43"/>
      <c r="R75" s="66" t="str">
        <f t="shared" si="3"/>
        <v>Lightning</v>
      </c>
      <c r="S75" s="65"/>
      <c r="T75" s="46" t="s">
        <v>357</v>
      </c>
      <c r="U75" s="66" t="str">
        <f>Images!$A$14</f>
        <v>Shadow</v>
      </c>
      <c r="V75" s="65"/>
      <c r="W75" s="46" t="s">
        <v>358</v>
      </c>
      <c r="X75" s="70" t="str">
        <f t="array" ref="X75">IFERROR(INDEX('5.29 Recipe Matrix (Unsorted)'!$C$5:$P$18,MATCH(R75,'5.29 Recipe Matrix (Unsorted)'!$A$5:$A$18,0),MATCH(U75,'5.29 Recipe Matrix (Unsorted)'!$C$3:$P$3,0)),"")</f>
        <v/>
      </c>
      <c r="Y75" s="65"/>
      <c r="Z75" s="43"/>
    </row>
    <row r="76" spans="1:26" ht="37.5" customHeight="1">
      <c r="A76" s="43"/>
      <c r="B76" s="66" t="str">
        <f ca="1">IFERROR(VLOOKUP(R76,Images!$A:$C,3,FALSE),R76)</f>
        <v>Lightning</v>
      </c>
      <c r="C76" s="65"/>
      <c r="D76" s="46" t="s">
        <v>357</v>
      </c>
      <c r="E76" s="66" t="str">
        <f ca="1">IFERROR(VLOOKUP(U76,Images!$A:$C,3,FALSE),"")</f>
        <v/>
      </c>
      <c r="F76" s="65"/>
      <c r="G76" s="46" t="s">
        <v>358</v>
      </c>
      <c r="H76" s="64" t="str">
        <f>IFERROR(VLOOKUP(X76,Images!$A:$C,3,FALSE),X76)</f>
        <v/>
      </c>
      <c r="I76" s="65"/>
      <c r="J76" s="43"/>
      <c r="K76" s="43"/>
      <c r="L76" s="43"/>
      <c r="M76" s="43"/>
      <c r="N76" s="43"/>
      <c r="O76" s="43"/>
      <c r="P76" s="43"/>
      <c r="Q76" s="43"/>
      <c r="R76" s="66" t="str">
        <f t="shared" si="3"/>
        <v>Lightning</v>
      </c>
      <c r="S76" s="65"/>
      <c r="T76" s="46" t="s">
        <v>357</v>
      </c>
      <c r="U76" s="66" t="str">
        <f>Images!$A$15</f>
        <v>Spirit</v>
      </c>
      <c r="V76" s="65"/>
      <c r="W76" s="46" t="s">
        <v>358</v>
      </c>
      <c r="X76" s="70" t="str">
        <f t="array" ref="X76">IFERROR(INDEX('5.29 Recipe Matrix (Unsorted)'!$C$5:$P$18,MATCH(R76,'5.29 Recipe Matrix (Unsorted)'!$A$5:$A$18,0),MATCH(U76,'5.29 Recipe Matrix (Unsorted)'!$C$3:$P$3,0)),"")</f>
        <v/>
      </c>
      <c r="Y76" s="65"/>
      <c r="Z76" s="43"/>
    </row>
    <row r="77" spans="1:26" ht="37.5" customHeight="1">
      <c r="A77" s="43"/>
      <c r="B77" s="43"/>
      <c r="C77" s="43"/>
      <c r="D77" s="43"/>
      <c r="E77" s="43"/>
      <c r="F77" s="43"/>
      <c r="G77" s="43"/>
      <c r="H77" s="67" t="str">
        <f>HYPERLINK("https://docs.google.com/spreadsheets/d/1o95Ipwx6NIyFV3LCz9LGNbH9_WELHF-pbpkM31YwXyY/edit#gid=0&amp;range=A1","Back to Top")</f>
        <v>Back to Top</v>
      </c>
      <c r="I77" s="65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67" t="str">
        <f>HYPERLINK("https://docs.google.com/spreadsheets/d/1o95Ipwx6NIyFV3LCz9LGNbH9_WELHF-pbpkM31YwXyY/edit#gid=0&amp;range=A1","Back to Top")</f>
        <v>Back to Top</v>
      </c>
      <c r="Y77" s="65"/>
      <c r="Z77" s="43"/>
    </row>
    <row r="78" spans="1:26" ht="37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37.5" customHeight="1">
      <c r="A79" s="43"/>
      <c r="B79" s="68" t="str">
        <f>R79</f>
        <v>Poison Recipes</v>
      </c>
      <c r="C79" s="69"/>
      <c r="D79" s="69"/>
      <c r="E79" s="69"/>
      <c r="F79" s="69"/>
      <c r="G79" s="69"/>
      <c r="H79" s="69"/>
      <c r="I79" s="65"/>
      <c r="J79" s="43"/>
      <c r="K79" s="43"/>
      <c r="L79" s="43"/>
      <c r="M79" s="43"/>
      <c r="N79" s="43"/>
      <c r="O79" s="43"/>
      <c r="P79" s="43"/>
      <c r="Q79" s="43"/>
      <c r="R79" s="68" t="str">
        <f>R80 &amp; " Recipes"</f>
        <v>Poison Recipes</v>
      </c>
      <c r="S79" s="69"/>
      <c r="T79" s="69"/>
      <c r="U79" s="69"/>
      <c r="V79" s="69"/>
      <c r="W79" s="69"/>
      <c r="X79" s="69"/>
      <c r="Y79" s="65"/>
      <c r="Z79" s="43"/>
    </row>
    <row r="80" spans="1:26" ht="37.5" customHeight="1">
      <c r="A80" s="43"/>
      <c r="B80" s="66" t="str">
        <f ca="1">IFERROR(VLOOKUP(R80,Images!$A:$C,3,FALSE),R80)</f>
        <v>Poison</v>
      </c>
      <c r="C80" s="65"/>
      <c r="D80" s="46" t="s">
        <v>357</v>
      </c>
      <c r="E80" s="66" t="str">
        <f ca="1">IFERROR(VLOOKUP(U80,Images!$A:$C,3,FALSE),"")</f>
        <v/>
      </c>
      <c r="F80" s="65"/>
      <c r="G80" s="46" t="s">
        <v>358</v>
      </c>
      <c r="H80" s="64" t="str">
        <f>IFERROR(VLOOKUP(X80,Images!$A:$C,3,FALSE),X80)</f>
        <v>21 Common Equipment</v>
      </c>
      <c r="I80" s="65"/>
      <c r="J80" s="43"/>
      <c r="K80" s="43"/>
      <c r="L80" s="43"/>
      <c r="M80" s="43"/>
      <c r="N80" s="43"/>
      <c r="O80" s="43"/>
      <c r="P80" s="43"/>
      <c r="Q80" s="43"/>
      <c r="R80" s="66" t="str">
        <f>Images!$A$6</f>
        <v>Poison</v>
      </c>
      <c r="S80" s="65"/>
      <c r="T80" s="46" t="s">
        <v>357</v>
      </c>
      <c r="U80" s="66" t="str">
        <f>Images!$A$2</f>
        <v>Leaf</v>
      </c>
      <c r="V80" s="65"/>
      <c r="W80" s="46" t="s">
        <v>358</v>
      </c>
      <c r="X80" s="70" t="str">
        <f t="array" ref="X80">IFERROR(INDEX('5.29 Recipe Matrix (Unsorted)'!$C$5:$P$18,MATCH(R80,'5.29 Recipe Matrix (Unsorted)'!$A$5:$A$18,0),MATCH(U80,'5.29 Recipe Matrix (Unsorted)'!$C$3:$P$3,0)),"")</f>
        <v>21 Common Equipment</v>
      </c>
      <c r="Y80" s="65"/>
      <c r="Z80" s="43"/>
    </row>
    <row r="81" spans="1:26" ht="37.5" customHeight="1">
      <c r="A81" s="43"/>
      <c r="B81" s="66" t="str">
        <f ca="1">IFERROR(VLOOKUP(R81,Images!$A:$C,3,FALSE),R81)</f>
        <v>Poison</v>
      </c>
      <c r="C81" s="65"/>
      <c r="D81" s="46" t="s">
        <v>357</v>
      </c>
      <c r="E81" s="66" t="str">
        <f ca="1">IFERROR(VLOOKUP(U81,Images!$A:$C,3,FALSE),"")</f>
        <v/>
      </c>
      <c r="F81" s="65"/>
      <c r="G81" s="46" t="s">
        <v>358</v>
      </c>
      <c r="H81" s="64" t="str">
        <f>IFERROR(VLOOKUP(X81,Images!$A:$C,3,FALSE),X81)</f>
        <v/>
      </c>
      <c r="I81" s="65"/>
      <c r="J81" s="43"/>
      <c r="K81" s="43"/>
      <c r="L81" s="43"/>
      <c r="M81" s="43"/>
      <c r="N81" s="43"/>
      <c r="O81" s="43"/>
      <c r="P81" s="43"/>
      <c r="Q81" s="43"/>
      <c r="R81" s="66" t="str">
        <f t="shared" ref="R81:R93" si="4">R80</f>
        <v>Poison</v>
      </c>
      <c r="S81" s="65"/>
      <c r="T81" s="46" t="s">
        <v>357</v>
      </c>
      <c r="U81" s="66" t="str">
        <f>Images!$A$3</f>
        <v>Sand</v>
      </c>
      <c r="V81" s="65"/>
      <c r="W81" s="46" t="s">
        <v>358</v>
      </c>
      <c r="X81" s="70" t="str">
        <f t="array" ref="X81">IFERROR(INDEX('5.29 Recipe Matrix (Unsorted)'!$C$5:$P$18,MATCH(R81,'5.29 Recipe Matrix (Unsorted)'!$A$5:$A$18,0),MATCH(U81,'5.29 Recipe Matrix (Unsorted)'!$C$3:$P$3,0)),"")</f>
        <v/>
      </c>
      <c r="Y81" s="65"/>
      <c r="Z81" s="43"/>
    </row>
    <row r="82" spans="1:26" ht="37.5" customHeight="1">
      <c r="A82" s="43"/>
      <c r="B82" s="66" t="str">
        <f ca="1">IFERROR(VLOOKUP(R82,Images!$A:$C,3,FALSE),R82)</f>
        <v>Poison</v>
      </c>
      <c r="C82" s="65"/>
      <c r="D82" s="46" t="s">
        <v>357</v>
      </c>
      <c r="E82" s="66" t="str">
        <f ca="1">IFERROR(VLOOKUP(U82,Images!$A:$C,3,FALSE),"")</f>
        <v/>
      </c>
      <c r="F82" s="65"/>
      <c r="G82" s="46" t="s">
        <v>358</v>
      </c>
      <c r="H82" s="64" t="str">
        <f>IFERROR(VLOOKUP(X82,Images!$A:$C,3,FALSE),X82)</f>
        <v>3 Perks</v>
      </c>
      <c r="I82" s="65"/>
      <c r="J82" s="43"/>
      <c r="K82" s="43"/>
      <c r="L82" s="43"/>
      <c r="M82" s="43"/>
      <c r="N82" s="43"/>
      <c r="O82" s="43"/>
      <c r="P82" s="43"/>
      <c r="Q82" s="43"/>
      <c r="R82" s="66" t="str">
        <f t="shared" si="4"/>
        <v>Poison</v>
      </c>
      <c r="S82" s="65"/>
      <c r="T82" s="46" t="s">
        <v>357</v>
      </c>
      <c r="U82" s="66" t="str">
        <f>Images!$A$4</f>
        <v>Water</v>
      </c>
      <c r="V82" s="65"/>
      <c r="W82" s="46" t="s">
        <v>358</v>
      </c>
      <c r="X82" s="70" t="str">
        <f t="array" ref="X82">IFERROR(INDEX('5.29 Recipe Matrix (Unsorted)'!$C$5:$P$18,MATCH(R82,'5.29 Recipe Matrix (Unsorted)'!$A$5:$A$18,0),MATCH(U82,'5.29 Recipe Matrix (Unsorted)'!$C$3:$P$3,0)),"")</f>
        <v>3 Perks</v>
      </c>
      <c r="Y82" s="65"/>
      <c r="Z82" s="43"/>
    </row>
    <row r="83" spans="1:26" ht="37.5" customHeight="1">
      <c r="A83" s="43"/>
      <c r="B83" s="66" t="str">
        <f ca="1">IFERROR(VLOOKUP(R83,Images!$A:$C,3,FALSE),R83)</f>
        <v>Poison</v>
      </c>
      <c r="C83" s="65"/>
      <c r="D83" s="46" t="s">
        <v>357</v>
      </c>
      <c r="E83" s="66" t="str">
        <f ca="1">IFERROR(VLOOKUP(U83,Images!$A:$C,3,FALSE),"")</f>
        <v/>
      </c>
      <c r="F83" s="65"/>
      <c r="G83" s="46" t="s">
        <v>358</v>
      </c>
      <c r="H83" s="64" t="str">
        <f>IFERROR(VLOOKUP(X83,Images!$A:$C,3,FALSE),X83)</f>
        <v>70 Currency</v>
      </c>
      <c r="I83" s="65"/>
      <c r="J83" s="43"/>
      <c r="K83" s="43"/>
      <c r="L83" s="43"/>
      <c r="M83" s="43"/>
      <c r="N83" s="43"/>
      <c r="O83" s="43"/>
      <c r="P83" s="43"/>
      <c r="Q83" s="43"/>
      <c r="R83" s="66" t="str">
        <f t="shared" si="4"/>
        <v>Poison</v>
      </c>
      <c r="S83" s="65"/>
      <c r="T83" s="46" t="s">
        <v>357</v>
      </c>
      <c r="U83" s="66" t="str">
        <f>Images!$A$5</f>
        <v>Lightning</v>
      </c>
      <c r="V83" s="65"/>
      <c r="W83" s="46" t="s">
        <v>358</v>
      </c>
      <c r="X83" s="70" t="str">
        <f t="array" ref="X83">IFERROR(INDEX('5.29 Recipe Matrix (Unsorted)'!$C$5:$P$18,MATCH(R83,'5.29 Recipe Matrix (Unsorted)'!$A$5:$A$18,0),MATCH(U83,'5.29 Recipe Matrix (Unsorted)'!$C$3:$P$3,0)),"")</f>
        <v>70 Currency</v>
      </c>
      <c r="Y83" s="65"/>
      <c r="Z83" s="43"/>
    </row>
    <row r="84" spans="1:26" ht="37.5" customHeight="1">
      <c r="A84" s="43"/>
      <c r="B84" s="66" t="str">
        <f ca="1">IFERROR(VLOOKUP(R84,Images!$A:$C,3,FALSE),R84)</f>
        <v>Poison</v>
      </c>
      <c r="C84" s="65"/>
      <c r="D84" s="46" t="s">
        <v>357</v>
      </c>
      <c r="E84" s="66" t="str">
        <f ca="1">IFERROR(VLOOKUP(U84,Images!$A:$C,3,FALSE),"")</f>
        <v/>
      </c>
      <c r="F84" s="65"/>
      <c r="G84" s="46" t="s">
        <v>358</v>
      </c>
      <c r="H84" s="64" t="s">
        <v>360</v>
      </c>
      <c r="I84" s="65"/>
      <c r="J84" s="43"/>
      <c r="K84" s="43"/>
      <c r="L84" s="43"/>
      <c r="M84" s="43"/>
      <c r="N84" s="43"/>
      <c r="O84" s="43"/>
      <c r="P84" s="43"/>
      <c r="Q84" s="43"/>
      <c r="R84" s="66" t="str">
        <f t="shared" si="4"/>
        <v>Poison</v>
      </c>
      <c r="S84" s="65"/>
      <c r="T84" s="46" t="s">
        <v>357</v>
      </c>
      <c r="U84" s="66" t="str">
        <f>Images!$A$6</f>
        <v>Poison</v>
      </c>
      <c r="V84" s="65"/>
      <c r="W84" s="46" t="s">
        <v>358</v>
      </c>
      <c r="X84" s="70" t="str">
        <f t="array" aca="1" ref="X84" ca="1">IFERROR(INDEX('5.29 Recipe Matrix (Unsorted)'!$C$5:$P$18,MATCH(R84,'5.29 Recipe Matrix (Unsorted)'!$A$5:$A$18,0),MATCH(U84,'5.29 Recipe Matrix (Unsorted)'!$C$3:$P$3,0)),"")</f>
        <v/>
      </c>
      <c r="Y84" s="65"/>
      <c r="Z84" s="43"/>
    </row>
    <row r="85" spans="1:26" ht="37.5" customHeight="1">
      <c r="A85" s="43"/>
      <c r="B85" s="66" t="str">
        <f ca="1">IFERROR(VLOOKUP(R85,Images!$A:$C,3,FALSE),R85)</f>
        <v>Poison</v>
      </c>
      <c r="C85" s="65"/>
      <c r="D85" s="46" t="s">
        <v>357</v>
      </c>
      <c r="E85" s="66" t="str">
        <f ca="1">IFERROR(VLOOKUP(U85,Images!$A:$C,3,FALSE),"")</f>
        <v/>
      </c>
      <c r="F85" s="65"/>
      <c r="G85" s="46" t="s">
        <v>358</v>
      </c>
      <c r="H85" s="64" t="str">
        <f>IFERROR(VLOOKUP(X85,Images!$A:$C,3,FALSE),X85)</f>
        <v>x3 Skill Points</v>
      </c>
      <c r="I85" s="65"/>
      <c r="J85" s="43"/>
      <c r="K85" s="43"/>
      <c r="L85" s="43"/>
      <c r="M85" s="43"/>
      <c r="N85" s="43"/>
      <c r="O85" s="43"/>
      <c r="P85" s="43"/>
      <c r="Q85" s="43"/>
      <c r="R85" s="66" t="str">
        <f t="shared" si="4"/>
        <v>Poison</v>
      </c>
      <c r="S85" s="65"/>
      <c r="T85" s="46" t="s">
        <v>357</v>
      </c>
      <c r="U85" s="66" t="str">
        <f>Images!$A$7</f>
        <v>Beetle</v>
      </c>
      <c r="V85" s="65"/>
      <c r="W85" s="46" t="s">
        <v>358</v>
      </c>
      <c r="X85" s="70" t="str">
        <f t="array" ref="X85">IFERROR(INDEX('5.29 Recipe Matrix (Unsorted)'!$C$5:$P$18,MATCH(R85,'5.29 Recipe Matrix (Unsorted)'!$A$5:$A$18,0),MATCH(U85,'5.29 Recipe Matrix (Unsorted)'!$C$3:$P$3,0)),"")</f>
        <v>x3 Skill Points</v>
      </c>
      <c r="Y85" s="65"/>
      <c r="Z85" s="43"/>
    </row>
    <row r="86" spans="1:26" ht="37.5" customHeight="1">
      <c r="A86" s="43"/>
      <c r="B86" s="66" t="str">
        <f ca="1">IFERROR(VLOOKUP(R86,Images!$A:$C,3,FALSE),R86)</f>
        <v>Poison</v>
      </c>
      <c r="C86" s="65"/>
      <c r="D86" s="46" t="s">
        <v>357</v>
      </c>
      <c r="E86" s="66" t="str">
        <f ca="1">IFERROR(VLOOKUP(U86,Images!$A:$C,3,FALSE),"")</f>
        <v/>
      </c>
      <c r="F86" s="65"/>
      <c r="G86" s="46" t="s">
        <v>358</v>
      </c>
      <c r="H86" s="64" t="str">
        <f>IFERROR(VLOOKUP(X86,Images!$A:$C,3,FALSE),X86)</f>
        <v/>
      </c>
      <c r="I86" s="65"/>
      <c r="J86" s="43"/>
      <c r="K86" s="43"/>
      <c r="L86" s="43"/>
      <c r="M86" s="43"/>
      <c r="N86" s="43"/>
      <c r="O86" s="43"/>
      <c r="P86" s="43"/>
      <c r="Q86" s="43"/>
      <c r="R86" s="66" t="str">
        <f t="shared" si="4"/>
        <v>Poison</v>
      </c>
      <c r="S86" s="65"/>
      <c r="T86" s="46" t="s">
        <v>357</v>
      </c>
      <c r="U86" s="66" t="str">
        <f>Images!$A$8</f>
        <v>Tooth</v>
      </c>
      <c r="V86" s="65"/>
      <c r="W86" s="46" t="s">
        <v>358</v>
      </c>
      <c r="X86" s="70" t="str">
        <f t="array" ref="X86">IFERROR(INDEX('5.29 Recipe Matrix (Unsorted)'!$C$5:$P$18,MATCH(R86,'5.29 Recipe Matrix (Unsorted)'!$A$5:$A$18,0),MATCH(U86,'5.29 Recipe Matrix (Unsorted)'!$C$3:$P$3,0)),"")</f>
        <v/>
      </c>
      <c r="Y86" s="65"/>
      <c r="Z86" s="43"/>
    </row>
    <row r="87" spans="1:26" ht="37.5" customHeight="1">
      <c r="A87" s="43"/>
      <c r="B87" s="66" t="str">
        <f ca="1">IFERROR(VLOOKUP(R87,Images!$A:$C,3,FALSE),R87)</f>
        <v>Poison</v>
      </c>
      <c r="C87" s="65"/>
      <c r="D87" s="46" t="s">
        <v>357</v>
      </c>
      <c r="E87" s="66" t="str">
        <f ca="1">IFERROR(VLOOKUP(U87,Images!$A:$C,3,FALSE),"")</f>
        <v/>
      </c>
      <c r="F87" s="65"/>
      <c r="G87" s="46" t="s">
        <v>358</v>
      </c>
      <c r="H87" s="64" t="str">
        <f ca="1">IFERROR(VLOOKUP(X87,Images!$A:$C,3,FALSE),X87)</f>
        <v/>
      </c>
      <c r="I87" s="65"/>
      <c r="J87" s="43"/>
      <c r="K87" s="43"/>
      <c r="L87" s="43"/>
      <c r="M87" s="43"/>
      <c r="N87" s="43"/>
      <c r="O87" s="43"/>
      <c r="P87" s="43"/>
      <c r="Q87" s="43"/>
      <c r="R87" s="66" t="str">
        <f t="shared" si="4"/>
        <v>Poison</v>
      </c>
      <c r="S87" s="65"/>
      <c r="T87" s="46" t="s">
        <v>357</v>
      </c>
      <c r="U87" s="66" t="str">
        <f>Images!$A$9</f>
        <v>Flame</v>
      </c>
      <c r="V87" s="65"/>
      <c r="W87" s="46" t="s">
        <v>358</v>
      </c>
      <c r="X87" s="70" t="str">
        <f t="array" aca="1" ref="X87" ca="1">IFERROR(INDEX('5.29 Recipe Matrix (Unsorted)'!$C$5:$P$18,MATCH(R87,'5.29 Recipe Matrix (Unsorted)'!$A$5:$A$18,0),MATCH(U87,'5.29 Recipe Matrix (Unsorted)'!$C$3:$P$3,0)),"")</f>
        <v/>
      </c>
      <c r="Y87" s="65"/>
      <c r="Z87" s="43"/>
    </row>
    <row r="88" spans="1:26" ht="37.5" customHeight="1">
      <c r="A88" s="43"/>
      <c r="B88" s="66" t="str">
        <f ca="1">IFERROR(VLOOKUP(R88,Images!$A:$C,3,FALSE),R88)</f>
        <v>Poison</v>
      </c>
      <c r="C88" s="65"/>
      <c r="D88" s="46" t="s">
        <v>357</v>
      </c>
      <c r="E88" s="66" t="str">
        <f ca="1">IFERROR(VLOOKUP(U88,Images!$A:$C,3,FALSE),"")</f>
        <v/>
      </c>
      <c r="F88" s="65"/>
      <c r="G88" s="46" t="s">
        <v>358</v>
      </c>
      <c r="H88" s="64" t="str">
        <f>IFERROR(VLOOKUP(X88,Images!$A:$C,3,FALSE),X88)</f>
        <v>128 Currency</v>
      </c>
      <c r="I88" s="65"/>
      <c r="J88" s="43"/>
      <c r="K88" s="43"/>
      <c r="L88" s="43"/>
      <c r="M88" s="43"/>
      <c r="N88" s="43"/>
      <c r="O88" s="43"/>
      <c r="P88" s="43"/>
      <c r="Q88" s="43"/>
      <c r="R88" s="66" t="str">
        <f t="shared" si="4"/>
        <v>Poison</v>
      </c>
      <c r="S88" s="65"/>
      <c r="T88" s="46" t="s">
        <v>357</v>
      </c>
      <c r="U88" s="66" t="str">
        <f>Images!$A$10</f>
        <v>Steel</v>
      </c>
      <c r="V88" s="65"/>
      <c r="W88" s="46" t="s">
        <v>358</v>
      </c>
      <c r="X88" s="70" t="str">
        <f t="array" ref="X88">IFERROR(INDEX('5.29 Recipe Matrix (Unsorted)'!$C$5:$P$18,MATCH(R88,'5.29 Recipe Matrix (Unsorted)'!$A$5:$A$18,0),MATCH(U88,'5.29 Recipe Matrix (Unsorted)'!$C$3:$P$3,0)),"")</f>
        <v>128 Currency</v>
      </c>
      <c r="Y88" s="65"/>
      <c r="Z88" s="43"/>
    </row>
    <row r="89" spans="1:26" ht="37.5" customHeight="1">
      <c r="A89" s="43"/>
      <c r="B89" s="66" t="str">
        <f ca="1">IFERROR(VLOOKUP(R89,Images!$A:$C,3,FALSE),R89)</f>
        <v>Poison</v>
      </c>
      <c r="C89" s="65"/>
      <c r="D89" s="46" t="s">
        <v>357</v>
      </c>
      <c r="E89" s="66" t="str">
        <f ca="1">IFERROR(VLOOKUP(U89,Images!$A:$C,3,FALSE),"")</f>
        <v/>
      </c>
      <c r="F89" s="65"/>
      <c r="G89" s="46" t="s">
        <v>358</v>
      </c>
      <c r="H89" s="64" t="str">
        <f>IFERROR(VLOOKUP(X89,Images!$A:$C,3,FALSE),X89)</f>
        <v>499 Dust</v>
      </c>
      <c r="I89" s="65"/>
      <c r="J89" s="43"/>
      <c r="K89" s="43"/>
      <c r="L89" s="43"/>
      <c r="M89" s="43"/>
      <c r="N89" s="43"/>
      <c r="O89" s="43"/>
      <c r="P89" s="43"/>
      <c r="Q89" s="43"/>
      <c r="R89" s="66" t="str">
        <f t="shared" si="4"/>
        <v>Poison</v>
      </c>
      <c r="S89" s="65"/>
      <c r="T89" s="46" t="s">
        <v>357</v>
      </c>
      <c r="U89" s="66" t="str">
        <f>Images!$A$11</f>
        <v>Scale</v>
      </c>
      <c r="V89" s="65"/>
      <c r="W89" s="46" t="s">
        <v>358</v>
      </c>
      <c r="X89" s="70" t="str">
        <f t="array" ref="X89">IFERROR(INDEX('5.29 Recipe Matrix (Unsorted)'!$C$5:$P$18,MATCH(R89,'5.29 Recipe Matrix (Unsorted)'!$A$5:$A$18,0),MATCH(U89,'5.29 Recipe Matrix (Unsorted)'!$C$3:$P$3,0)),"")</f>
        <v>499 Dust</v>
      </c>
      <c r="Y89" s="65"/>
      <c r="Z89" s="43"/>
    </row>
    <row r="90" spans="1:26" ht="37.5" customHeight="1">
      <c r="A90" s="43"/>
      <c r="B90" s="66" t="str">
        <f ca="1">IFERROR(VLOOKUP(R90,Images!$A:$C,3,FALSE),R90)</f>
        <v>Poison</v>
      </c>
      <c r="C90" s="65"/>
      <c r="D90" s="46" t="s">
        <v>357</v>
      </c>
      <c r="E90" s="66" t="str">
        <f ca="1">IFERROR(VLOOKUP(U90,Images!$A:$C,3,FALSE),"")</f>
        <v/>
      </c>
      <c r="F90" s="65"/>
      <c r="G90" s="46" t="s">
        <v>358</v>
      </c>
      <c r="H90" s="64" t="str">
        <f>IFERROR(VLOOKUP(X90,Images!$A:$C,3,FALSE),X90)</f>
        <v>x3 Skill Points</v>
      </c>
      <c r="I90" s="65"/>
      <c r="J90" s="43"/>
      <c r="K90" s="43"/>
      <c r="L90" s="43"/>
      <c r="M90" s="43"/>
      <c r="N90" s="43"/>
      <c r="O90" s="43"/>
      <c r="P90" s="43"/>
      <c r="Q90" s="43"/>
      <c r="R90" s="66" t="str">
        <f t="shared" si="4"/>
        <v>Poison</v>
      </c>
      <c r="S90" s="65"/>
      <c r="T90" s="46" t="s">
        <v>357</v>
      </c>
      <c r="U90" s="66" t="str">
        <f>Images!$A$12</f>
        <v>Essence</v>
      </c>
      <c r="V90" s="65"/>
      <c r="W90" s="46" t="s">
        <v>358</v>
      </c>
      <c r="X90" s="70" t="str">
        <f t="array" ref="X90">IFERROR(INDEX('5.29 Recipe Matrix (Unsorted)'!$C$5:$P$18,MATCH(R90,'5.29 Recipe Matrix (Unsorted)'!$A$5:$A$18,0),MATCH(U90,'5.29 Recipe Matrix (Unsorted)'!$C$3:$P$3,0)),"")</f>
        <v>x3 Skill Points</v>
      </c>
      <c r="Y90" s="65"/>
      <c r="Z90" s="43"/>
    </row>
    <row r="91" spans="1:26" ht="37.5" customHeight="1">
      <c r="A91" s="43"/>
      <c r="B91" s="66" t="str">
        <f ca="1">IFERROR(VLOOKUP(R91,Images!$A:$C,3,FALSE),R91)</f>
        <v>Poison</v>
      </c>
      <c r="C91" s="65"/>
      <c r="D91" s="46" t="s">
        <v>357</v>
      </c>
      <c r="E91" s="66" t="str">
        <f ca="1">IFERROR(VLOOKUP(U91,Images!$A:$C,3,FALSE),"")</f>
        <v/>
      </c>
      <c r="F91" s="65"/>
      <c r="G91" s="46" t="s">
        <v>358</v>
      </c>
      <c r="H91" s="64" t="str">
        <f>IFERROR(VLOOKUP(X91,Images!$A:$C,3,FALSE),X91)</f>
        <v>96 Currency</v>
      </c>
      <c r="I91" s="65"/>
      <c r="J91" s="43"/>
      <c r="K91" s="43"/>
      <c r="L91" s="43"/>
      <c r="M91" s="43"/>
      <c r="N91" s="43"/>
      <c r="O91" s="43"/>
      <c r="P91" s="43"/>
      <c r="Q91" s="43"/>
      <c r="R91" s="66" t="str">
        <f t="shared" si="4"/>
        <v>Poison</v>
      </c>
      <c r="S91" s="65"/>
      <c r="T91" s="46" t="s">
        <v>357</v>
      </c>
      <c r="U91" s="66" t="str">
        <f>Images!$A$13</f>
        <v>Power</v>
      </c>
      <c r="V91" s="65"/>
      <c r="W91" s="46" t="s">
        <v>358</v>
      </c>
      <c r="X91" s="70" t="str">
        <f t="array" ref="X91">IFERROR(INDEX('5.29 Recipe Matrix (Unsorted)'!$C$5:$P$18,MATCH(R91,'5.29 Recipe Matrix (Unsorted)'!$A$5:$A$18,0),MATCH(U91,'5.29 Recipe Matrix (Unsorted)'!$C$3:$P$3,0)),"")</f>
        <v>96 Currency</v>
      </c>
      <c r="Y91" s="65"/>
      <c r="Z91" s="43"/>
    </row>
    <row r="92" spans="1:26" ht="37.5" customHeight="1">
      <c r="A92" s="43"/>
      <c r="B92" s="66" t="str">
        <f ca="1">IFERROR(VLOOKUP(R92,Images!$A:$C,3,FALSE),R92)</f>
        <v>Poison</v>
      </c>
      <c r="C92" s="65"/>
      <c r="D92" s="46" t="s">
        <v>357</v>
      </c>
      <c r="E92" s="66" t="str">
        <f ca="1">IFERROR(VLOOKUP(U92,Images!$A:$C,3,FALSE),"")</f>
        <v/>
      </c>
      <c r="F92" s="65"/>
      <c r="G92" s="46" t="s">
        <v>358</v>
      </c>
      <c r="H92" s="64" t="str">
        <f>IFERROR(VLOOKUP(X92,Images!$A:$C,3,FALSE),X92)</f>
        <v/>
      </c>
      <c r="I92" s="65"/>
      <c r="J92" s="43"/>
      <c r="K92" s="43"/>
      <c r="L92" s="43"/>
      <c r="M92" s="43"/>
      <c r="N92" s="43"/>
      <c r="O92" s="43"/>
      <c r="P92" s="43"/>
      <c r="Q92" s="43"/>
      <c r="R92" s="66" t="str">
        <f t="shared" si="4"/>
        <v>Poison</v>
      </c>
      <c r="S92" s="65"/>
      <c r="T92" s="46" t="s">
        <v>357</v>
      </c>
      <c r="U92" s="66" t="str">
        <f>Images!$A$14</f>
        <v>Shadow</v>
      </c>
      <c r="V92" s="65"/>
      <c r="W92" s="46" t="s">
        <v>358</v>
      </c>
      <c r="X92" s="70" t="str">
        <f t="array" ref="X92">IFERROR(INDEX('5.29 Recipe Matrix (Unsorted)'!$C$5:$P$18,MATCH(R92,'5.29 Recipe Matrix (Unsorted)'!$A$5:$A$18,0),MATCH(U92,'5.29 Recipe Matrix (Unsorted)'!$C$3:$P$3,0)),"")</f>
        <v/>
      </c>
      <c r="Y92" s="65"/>
      <c r="Z92" s="43"/>
    </row>
    <row r="93" spans="1:26" ht="37.5" customHeight="1">
      <c r="A93" s="43"/>
      <c r="B93" s="66" t="str">
        <f ca="1">IFERROR(VLOOKUP(R93,Images!$A:$C,3,FALSE),R93)</f>
        <v>Poison</v>
      </c>
      <c r="C93" s="65"/>
      <c r="D93" s="46" t="s">
        <v>357</v>
      </c>
      <c r="E93" s="66" t="str">
        <f ca="1">IFERROR(VLOOKUP(U93,Images!$A:$C,3,FALSE),"")</f>
        <v/>
      </c>
      <c r="F93" s="65"/>
      <c r="G93" s="46" t="s">
        <v>358</v>
      </c>
      <c r="H93" s="64" t="str">
        <f>IFERROR(VLOOKUP(X93,Images!$A:$C,3,FALSE),X93)</f>
        <v/>
      </c>
      <c r="I93" s="65"/>
      <c r="J93" s="43"/>
      <c r="K93" s="43"/>
      <c r="L93" s="43"/>
      <c r="M93" s="43"/>
      <c r="N93" s="43"/>
      <c r="O93" s="43"/>
      <c r="P93" s="43"/>
      <c r="Q93" s="43"/>
      <c r="R93" s="66" t="str">
        <f t="shared" si="4"/>
        <v>Poison</v>
      </c>
      <c r="S93" s="65"/>
      <c r="T93" s="46" t="s">
        <v>357</v>
      </c>
      <c r="U93" s="66" t="str">
        <f>Images!$A$15</f>
        <v>Spirit</v>
      </c>
      <c r="V93" s="65"/>
      <c r="W93" s="46" t="s">
        <v>358</v>
      </c>
      <c r="X93" s="70" t="str">
        <f t="array" ref="X93">IFERROR(INDEX('5.29 Recipe Matrix (Unsorted)'!$C$5:$P$18,MATCH(R93,'5.29 Recipe Matrix (Unsorted)'!$A$5:$A$18,0),MATCH(U93,'5.29 Recipe Matrix (Unsorted)'!$C$3:$P$3,0)),"")</f>
        <v/>
      </c>
      <c r="Y93" s="65"/>
      <c r="Z93" s="43"/>
    </row>
    <row r="94" spans="1:26" ht="37.5" customHeight="1">
      <c r="A94" s="43"/>
      <c r="B94" s="43"/>
      <c r="C94" s="43"/>
      <c r="D94" s="43"/>
      <c r="E94" s="43"/>
      <c r="F94" s="43"/>
      <c r="G94" s="43"/>
      <c r="H94" s="67" t="str">
        <f>HYPERLINK("https://docs.google.com/spreadsheets/d/1o95Ipwx6NIyFV3LCz9LGNbH9_WELHF-pbpkM31YwXyY/edit#gid=0&amp;range=A1","Back to Top")</f>
        <v>Back to Top</v>
      </c>
      <c r="I94" s="65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67" t="str">
        <f>HYPERLINK("https://docs.google.com/spreadsheets/d/1o95Ipwx6NIyFV3LCz9LGNbH9_WELHF-pbpkM31YwXyY/edit#gid=0&amp;range=A1","Back to Top")</f>
        <v>Back to Top</v>
      </c>
      <c r="Y94" s="65"/>
      <c r="Z94" s="43"/>
    </row>
    <row r="95" spans="1:26" ht="37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37.5" customHeight="1">
      <c r="A96" s="43"/>
      <c r="B96" s="68" t="str">
        <f>R96</f>
        <v>Beetle Recipes</v>
      </c>
      <c r="C96" s="69"/>
      <c r="D96" s="69"/>
      <c r="E96" s="69"/>
      <c r="F96" s="69"/>
      <c r="G96" s="69"/>
      <c r="H96" s="69"/>
      <c r="I96" s="65"/>
      <c r="J96" s="43"/>
      <c r="K96" s="43"/>
      <c r="L96" s="43"/>
      <c r="M96" s="43"/>
      <c r="N96" s="43"/>
      <c r="O96" s="43"/>
      <c r="P96" s="43"/>
      <c r="Q96" s="43"/>
      <c r="R96" s="68" t="str">
        <f>R97 &amp; " Recipes"</f>
        <v>Beetle Recipes</v>
      </c>
      <c r="S96" s="69"/>
      <c r="T96" s="69"/>
      <c r="U96" s="69"/>
      <c r="V96" s="69"/>
      <c r="W96" s="69"/>
      <c r="X96" s="69"/>
      <c r="Y96" s="65"/>
      <c r="Z96" s="43"/>
    </row>
    <row r="97" spans="1:26" ht="37.5" customHeight="1">
      <c r="A97" s="43"/>
      <c r="B97" s="66" t="str">
        <f ca="1">IFERROR(VLOOKUP(R97,Images!$A:$C,3,FALSE),R97)</f>
        <v>Beetle</v>
      </c>
      <c r="C97" s="65"/>
      <c r="D97" s="46" t="s">
        <v>357</v>
      </c>
      <c r="E97" s="66" t="str">
        <f ca="1">IFERROR(VLOOKUP(U97,Images!$A:$C,3,FALSE),"")</f>
        <v/>
      </c>
      <c r="F97" s="65"/>
      <c r="G97" s="46" t="s">
        <v>358</v>
      </c>
      <c r="H97" s="64" t="str">
        <f>IFERROR(VLOOKUP(X97,Images!$A:$C,3,FALSE),X97)</f>
        <v>6 Rare Equipment</v>
      </c>
      <c r="I97" s="65"/>
      <c r="J97" s="43"/>
      <c r="K97" s="43"/>
      <c r="L97" s="43"/>
      <c r="M97" s="43"/>
      <c r="N97" s="43"/>
      <c r="O97" s="43"/>
      <c r="P97" s="43"/>
      <c r="Q97" s="43"/>
      <c r="R97" s="66" t="str">
        <f>Images!$A$7</f>
        <v>Beetle</v>
      </c>
      <c r="S97" s="65"/>
      <c r="T97" s="46" t="s">
        <v>357</v>
      </c>
      <c r="U97" s="66" t="str">
        <f>Images!$A$2</f>
        <v>Leaf</v>
      </c>
      <c r="V97" s="65"/>
      <c r="W97" s="46" t="s">
        <v>358</v>
      </c>
      <c r="X97" s="70" t="str">
        <f t="array" ref="X97">IFERROR(INDEX('5.29 Recipe Matrix (Unsorted)'!$C$5:$P$18,MATCH(R97,'5.29 Recipe Matrix (Unsorted)'!$A$5:$A$18,0),MATCH(U97,'5.29 Recipe Matrix (Unsorted)'!$C$3:$P$3,0)),"")</f>
        <v>6 Rare Equipment</v>
      </c>
      <c r="Y97" s="65"/>
      <c r="Z97" s="43"/>
    </row>
    <row r="98" spans="1:26" ht="37.5" customHeight="1">
      <c r="A98" s="43"/>
      <c r="B98" s="66" t="str">
        <f ca="1">IFERROR(VLOOKUP(R98,Images!$A:$C,3,FALSE),R98)</f>
        <v>Beetle</v>
      </c>
      <c r="C98" s="65"/>
      <c r="D98" s="46" t="s">
        <v>357</v>
      </c>
      <c r="E98" s="66" t="str">
        <f ca="1">IFERROR(VLOOKUP(U98,Images!$A:$C,3,FALSE),"")</f>
        <v/>
      </c>
      <c r="F98" s="65"/>
      <c r="G98" s="46" t="s">
        <v>358</v>
      </c>
      <c r="H98" s="64" t="str">
        <f>IFERROR(VLOOKUP(X98,Images!$A:$C,3,FALSE),X98)</f>
        <v/>
      </c>
      <c r="I98" s="65"/>
      <c r="J98" s="43"/>
      <c r="K98" s="43"/>
      <c r="L98" s="43"/>
      <c r="M98" s="43"/>
      <c r="N98" s="43"/>
      <c r="O98" s="43"/>
      <c r="P98" s="43"/>
      <c r="Q98" s="43"/>
      <c r="R98" s="66" t="str">
        <f t="shared" ref="R98:R110" si="5">R97</f>
        <v>Beetle</v>
      </c>
      <c r="S98" s="65"/>
      <c r="T98" s="46" t="s">
        <v>357</v>
      </c>
      <c r="U98" s="66" t="str">
        <f>Images!$A$3</f>
        <v>Sand</v>
      </c>
      <c r="V98" s="65"/>
      <c r="W98" s="46" t="s">
        <v>358</v>
      </c>
      <c r="X98" s="70" t="str">
        <f t="array" ref="X98">IFERROR(INDEX('5.29 Recipe Matrix (Unsorted)'!$C$5:$P$18,MATCH(R98,'5.29 Recipe Matrix (Unsorted)'!$A$5:$A$18,0),MATCH(U98,'5.29 Recipe Matrix (Unsorted)'!$C$3:$P$3,0)),"")</f>
        <v/>
      </c>
      <c r="Y98" s="65"/>
      <c r="Z98" s="43"/>
    </row>
    <row r="99" spans="1:26" ht="37.5" customHeight="1">
      <c r="A99" s="43"/>
      <c r="B99" s="66" t="str">
        <f ca="1">IFERROR(VLOOKUP(R99,Images!$A:$C,3,FALSE),R99)</f>
        <v>Beetle</v>
      </c>
      <c r="C99" s="65"/>
      <c r="D99" s="46" t="s">
        <v>357</v>
      </c>
      <c r="E99" s="66" t="str">
        <f ca="1">IFERROR(VLOOKUP(U99,Images!$A:$C,3,FALSE),"")</f>
        <v/>
      </c>
      <c r="F99" s="65"/>
      <c r="G99" s="46" t="s">
        <v>358</v>
      </c>
      <c r="H99" s="64" t="str">
        <f>IFERROR(VLOOKUP(X99,Images!$A:$C,3,FALSE),X99)</f>
        <v xml:space="preserve">84 Currency </v>
      </c>
      <c r="I99" s="65"/>
      <c r="J99" s="43"/>
      <c r="K99" s="43"/>
      <c r="L99" s="43"/>
      <c r="M99" s="43"/>
      <c r="N99" s="43"/>
      <c r="O99" s="43"/>
      <c r="P99" s="43"/>
      <c r="Q99" s="43"/>
      <c r="R99" s="66" t="str">
        <f t="shared" si="5"/>
        <v>Beetle</v>
      </c>
      <c r="S99" s="65"/>
      <c r="T99" s="46" t="s">
        <v>357</v>
      </c>
      <c r="U99" s="66" t="str">
        <f>Images!$A$4</f>
        <v>Water</v>
      </c>
      <c r="V99" s="65"/>
      <c r="W99" s="46" t="s">
        <v>358</v>
      </c>
      <c r="X99" s="70" t="str">
        <f t="array" ref="X99">IFERROR(INDEX('5.29 Recipe Matrix (Unsorted)'!$C$5:$P$18,MATCH(R99,'5.29 Recipe Matrix (Unsorted)'!$A$5:$A$18,0),MATCH(U99,'5.29 Recipe Matrix (Unsorted)'!$C$3:$P$3,0)),"")</f>
        <v xml:space="preserve">84 Currency </v>
      </c>
      <c r="Y99" s="65"/>
      <c r="Z99" s="43"/>
    </row>
    <row r="100" spans="1:26" ht="37.5" customHeight="1">
      <c r="A100" s="43"/>
      <c r="B100" s="66" t="str">
        <f ca="1">IFERROR(VLOOKUP(R100,Images!$A:$C,3,FALSE),R100)</f>
        <v>Beetle</v>
      </c>
      <c r="C100" s="65"/>
      <c r="D100" s="46" t="s">
        <v>357</v>
      </c>
      <c r="E100" s="66" t="str">
        <f ca="1">IFERROR(VLOOKUP(U100,Images!$A:$C,3,FALSE),"")</f>
        <v/>
      </c>
      <c r="F100" s="65"/>
      <c r="G100" s="46" t="s">
        <v>358</v>
      </c>
      <c r="H100" s="64" t="str">
        <f>IFERROR(VLOOKUP(X100,Images!$A:$C,3,FALSE),X100)</f>
        <v>111 Currency</v>
      </c>
      <c r="I100" s="65"/>
      <c r="J100" s="43"/>
      <c r="K100" s="43"/>
      <c r="L100" s="43"/>
      <c r="M100" s="43"/>
      <c r="N100" s="43"/>
      <c r="O100" s="43"/>
      <c r="P100" s="43"/>
      <c r="Q100" s="43"/>
      <c r="R100" s="66" t="str">
        <f t="shared" si="5"/>
        <v>Beetle</v>
      </c>
      <c r="S100" s="65"/>
      <c r="T100" s="46" t="s">
        <v>357</v>
      </c>
      <c r="U100" s="66" t="str">
        <f>Images!$A$5</f>
        <v>Lightning</v>
      </c>
      <c r="V100" s="65"/>
      <c r="W100" s="46" t="s">
        <v>358</v>
      </c>
      <c r="X100" s="70" t="str">
        <f t="array" ref="X100">IFERROR(INDEX('5.29 Recipe Matrix (Unsorted)'!$C$5:$P$18,MATCH(R100,'5.29 Recipe Matrix (Unsorted)'!$A$5:$A$18,0),MATCH(U100,'5.29 Recipe Matrix (Unsorted)'!$C$3:$P$3,0)),"")</f>
        <v>111 Currency</v>
      </c>
      <c r="Y100" s="65"/>
      <c r="Z100" s="43"/>
    </row>
    <row r="101" spans="1:26" ht="37.5" customHeight="1">
      <c r="A101" s="43"/>
      <c r="B101" s="66" t="str">
        <f ca="1">IFERROR(VLOOKUP(R101,Images!$A:$C,3,FALSE),R101)</f>
        <v>Beetle</v>
      </c>
      <c r="C101" s="65"/>
      <c r="D101" s="46" t="s">
        <v>357</v>
      </c>
      <c r="E101" s="66" t="str">
        <f ca="1">IFERROR(VLOOKUP(U101,Images!$A:$C,3,FALSE),"")</f>
        <v/>
      </c>
      <c r="F101" s="65"/>
      <c r="G101" s="46" t="s">
        <v>358</v>
      </c>
      <c r="H101" s="64" t="str">
        <f>IFERROR(VLOOKUP(X101,Images!$A:$C,3,FALSE),X101)</f>
        <v>x3 Skill Points</v>
      </c>
      <c r="I101" s="65"/>
      <c r="J101" s="43"/>
      <c r="K101" s="43"/>
      <c r="L101" s="43"/>
      <c r="M101" s="43"/>
      <c r="N101" s="43"/>
      <c r="O101" s="43"/>
      <c r="P101" s="43"/>
      <c r="Q101" s="43"/>
      <c r="R101" s="66" t="str">
        <f t="shared" si="5"/>
        <v>Beetle</v>
      </c>
      <c r="S101" s="65"/>
      <c r="T101" s="46" t="s">
        <v>357</v>
      </c>
      <c r="U101" s="66" t="str">
        <f>Images!$A$6</f>
        <v>Poison</v>
      </c>
      <c r="V101" s="65"/>
      <c r="W101" s="46" t="s">
        <v>358</v>
      </c>
      <c r="X101" s="70" t="str">
        <f t="array" ref="X101">IFERROR(INDEX('5.29 Recipe Matrix (Unsorted)'!$C$5:$P$18,MATCH(R101,'5.29 Recipe Matrix (Unsorted)'!$A$5:$A$18,0),MATCH(U101,'5.29 Recipe Matrix (Unsorted)'!$C$3:$P$3,0)),"")</f>
        <v>x3 Skill Points</v>
      </c>
      <c r="Y101" s="65"/>
      <c r="Z101" s="43"/>
    </row>
    <row r="102" spans="1:26" ht="37.5" customHeight="1">
      <c r="A102" s="43"/>
      <c r="B102" s="66" t="str">
        <f ca="1">IFERROR(VLOOKUP(R102,Images!$A:$C,3,FALSE),R102)</f>
        <v>Beetle</v>
      </c>
      <c r="C102" s="65"/>
      <c r="D102" s="46" t="s">
        <v>357</v>
      </c>
      <c r="E102" s="66" t="str">
        <f ca="1">IFERROR(VLOOKUP(U102,Images!$A:$C,3,FALSE),"")</f>
        <v/>
      </c>
      <c r="F102" s="65"/>
      <c r="G102" s="46" t="s">
        <v>358</v>
      </c>
      <c r="H102" s="64" t="str">
        <f ca="1">IFERROR(VLOOKUP(X102,Images!$A:$C,3,FALSE),X102)</f>
        <v/>
      </c>
      <c r="I102" s="65"/>
      <c r="J102" s="43"/>
      <c r="K102" s="43"/>
      <c r="L102" s="43"/>
      <c r="M102" s="43"/>
      <c r="N102" s="43"/>
      <c r="O102" s="43"/>
      <c r="P102" s="43"/>
      <c r="Q102" s="43"/>
      <c r="R102" s="66" t="str">
        <f t="shared" si="5"/>
        <v>Beetle</v>
      </c>
      <c r="S102" s="65"/>
      <c r="T102" s="46" t="s">
        <v>357</v>
      </c>
      <c r="U102" s="66" t="str">
        <f>Images!$A$7</f>
        <v>Beetle</v>
      </c>
      <c r="V102" s="65"/>
      <c r="W102" s="46" t="s">
        <v>358</v>
      </c>
      <c r="X102" s="70" t="str">
        <f t="array" aca="1" ref="X102" ca="1">IFERROR(INDEX('5.29 Recipe Matrix (Unsorted)'!$C$5:$P$18,MATCH(R102,'5.29 Recipe Matrix (Unsorted)'!$A$5:$A$18,0),MATCH(U102,'5.29 Recipe Matrix (Unsorted)'!$C$3:$P$3,0)),"")</f>
        <v/>
      </c>
      <c r="Y102" s="65"/>
      <c r="Z102" s="43"/>
    </row>
    <row r="103" spans="1:26" ht="37.5" customHeight="1">
      <c r="A103" s="43"/>
      <c r="B103" s="66" t="str">
        <f ca="1">IFERROR(VLOOKUP(R103,Images!$A:$C,3,FALSE),R103)</f>
        <v>Beetle</v>
      </c>
      <c r="C103" s="65"/>
      <c r="D103" s="46" t="s">
        <v>357</v>
      </c>
      <c r="E103" s="66" t="str">
        <f ca="1">IFERROR(VLOOKUP(U103,Images!$A:$C,3,FALSE),"")</f>
        <v/>
      </c>
      <c r="F103" s="65"/>
      <c r="G103" s="46" t="s">
        <v>358</v>
      </c>
      <c r="H103" s="64" t="str">
        <f>IFERROR(VLOOKUP(X103,Images!$A:$C,3,FALSE),X103)</f>
        <v/>
      </c>
      <c r="I103" s="65"/>
      <c r="J103" s="43"/>
      <c r="K103" s="43"/>
      <c r="L103" s="43"/>
      <c r="M103" s="43"/>
      <c r="N103" s="43"/>
      <c r="O103" s="43"/>
      <c r="P103" s="43"/>
      <c r="Q103" s="43"/>
      <c r="R103" s="66" t="str">
        <f t="shared" si="5"/>
        <v>Beetle</v>
      </c>
      <c r="S103" s="65"/>
      <c r="T103" s="46" t="s">
        <v>357</v>
      </c>
      <c r="U103" s="66" t="str">
        <f>Images!$A$8</f>
        <v>Tooth</v>
      </c>
      <c r="V103" s="65"/>
      <c r="W103" s="46" t="s">
        <v>358</v>
      </c>
      <c r="X103" s="70" t="str">
        <f t="array" ref="X103">IFERROR(INDEX('5.29 Recipe Matrix (Unsorted)'!$C$5:$P$18,MATCH(R103,'5.29 Recipe Matrix (Unsorted)'!$A$5:$A$18,0),MATCH(U103,'5.29 Recipe Matrix (Unsorted)'!$C$3:$P$3,0)),"")</f>
        <v/>
      </c>
      <c r="Y103" s="65"/>
      <c r="Z103" s="43"/>
    </row>
    <row r="104" spans="1:26" ht="37.5" customHeight="1">
      <c r="A104" s="43"/>
      <c r="B104" s="66" t="str">
        <f ca="1">IFERROR(VLOOKUP(R104,Images!$A:$C,3,FALSE),R104)</f>
        <v>Beetle</v>
      </c>
      <c r="C104" s="65"/>
      <c r="D104" s="46" t="s">
        <v>357</v>
      </c>
      <c r="E104" s="66" t="str">
        <f ca="1">IFERROR(VLOOKUP(U104,Images!$A:$C,3,FALSE),"")</f>
        <v/>
      </c>
      <c r="F104" s="65"/>
      <c r="G104" s="46" t="s">
        <v>358</v>
      </c>
      <c r="H104" s="64" t="str">
        <f>IFERROR(VLOOKUP(X104,Images!$A:$C,3,FALSE),X104)</f>
        <v>97 Currency</v>
      </c>
      <c r="I104" s="65"/>
      <c r="J104" s="43"/>
      <c r="K104" s="43"/>
      <c r="L104" s="43"/>
      <c r="M104" s="43"/>
      <c r="N104" s="43"/>
      <c r="O104" s="43"/>
      <c r="P104" s="43"/>
      <c r="Q104" s="43"/>
      <c r="R104" s="66" t="str">
        <f t="shared" si="5"/>
        <v>Beetle</v>
      </c>
      <c r="S104" s="65"/>
      <c r="T104" s="46" t="s">
        <v>357</v>
      </c>
      <c r="U104" s="66" t="str">
        <f>Images!$A$9</f>
        <v>Flame</v>
      </c>
      <c r="V104" s="65"/>
      <c r="W104" s="46" t="s">
        <v>358</v>
      </c>
      <c r="X104" s="70" t="str">
        <f t="array" ref="X104">IFERROR(INDEX('5.29 Recipe Matrix (Unsorted)'!$C$5:$P$18,MATCH(R104,'5.29 Recipe Matrix (Unsorted)'!$A$5:$A$18,0),MATCH(U104,'5.29 Recipe Matrix (Unsorted)'!$C$3:$P$3,0)),"")</f>
        <v>97 Currency</v>
      </c>
      <c r="Y104" s="65"/>
      <c r="Z104" s="43"/>
    </row>
    <row r="105" spans="1:26" ht="37.5" customHeight="1">
      <c r="A105" s="43"/>
      <c r="B105" s="66" t="str">
        <f ca="1">IFERROR(VLOOKUP(R105,Images!$A:$C,3,FALSE),R105)</f>
        <v>Beetle</v>
      </c>
      <c r="C105" s="65"/>
      <c r="D105" s="46" t="s">
        <v>357</v>
      </c>
      <c r="E105" s="66" t="str">
        <f ca="1">IFERROR(VLOOKUP(U105,Images!$A:$C,3,FALSE),"")</f>
        <v/>
      </c>
      <c r="F105" s="65"/>
      <c r="G105" s="46" t="s">
        <v>358</v>
      </c>
      <c r="H105" s="64" t="str">
        <f>IFERROR(VLOOKUP(X105,Images!$A:$C,3,FALSE),X105)</f>
        <v>168 Currency</v>
      </c>
      <c r="I105" s="65"/>
      <c r="J105" s="43"/>
      <c r="K105" s="43"/>
      <c r="L105" s="43"/>
      <c r="M105" s="43"/>
      <c r="N105" s="43"/>
      <c r="O105" s="43"/>
      <c r="P105" s="43"/>
      <c r="Q105" s="43"/>
      <c r="R105" s="66" t="str">
        <f t="shared" si="5"/>
        <v>Beetle</v>
      </c>
      <c r="S105" s="65"/>
      <c r="T105" s="46" t="s">
        <v>357</v>
      </c>
      <c r="U105" s="66" t="str">
        <f>Images!$A$10</f>
        <v>Steel</v>
      </c>
      <c r="V105" s="65"/>
      <c r="W105" s="46" t="s">
        <v>358</v>
      </c>
      <c r="X105" s="70" t="str">
        <f t="array" ref="X105">IFERROR(INDEX('5.29 Recipe Matrix (Unsorted)'!$C$5:$P$18,MATCH(R105,'5.29 Recipe Matrix (Unsorted)'!$A$5:$A$18,0),MATCH(U105,'5.29 Recipe Matrix (Unsorted)'!$C$3:$P$3,0)),"")</f>
        <v>168 Currency</v>
      </c>
      <c r="Y105" s="65"/>
      <c r="Z105" s="43"/>
    </row>
    <row r="106" spans="1:26" ht="37.5" customHeight="1">
      <c r="A106" s="43"/>
      <c r="B106" s="66" t="str">
        <f ca="1">IFERROR(VLOOKUP(R106,Images!$A:$C,3,FALSE),R106)</f>
        <v>Beetle</v>
      </c>
      <c r="C106" s="65"/>
      <c r="D106" s="46" t="s">
        <v>357</v>
      </c>
      <c r="E106" s="66" t="str">
        <f ca="1">IFERROR(VLOOKUP(U106,Images!$A:$C,3,FALSE),"")</f>
        <v/>
      </c>
      <c r="F106" s="65"/>
      <c r="G106" s="46" t="s">
        <v>358</v>
      </c>
      <c r="H106" s="64" t="str">
        <f>IFERROR(VLOOKUP(X106,Images!$A:$C,3,FALSE),X106)</f>
        <v>702 Dust</v>
      </c>
      <c r="I106" s="65"/>
      <c r="J106" s="43"/>
      <c r="K106" s="43"/>
      <c r="L106" s="43"/>
      <c r="M106" s="43"/>
      <c r="N106" s="43"/>
      <c r="O106" s="43"/>
      <c r="P106" s="43"/>
      <c r="Q106" s="43"/>
      <c r="R106" s="66" t="str">
        <f t="shared" si="5"/>
        <v>Beetle</v>
      </c>
      <c r="S106" s="65"/>
      <c r="T106" s="46" t="s">
        <v>357</v>
      </c>
      <c r="U106" s="66" t="str">
        <f>Images!$A$11</f>
        <v>Scale</v>
      </c>
      <c r="V106" s="65"/>
      <c r="W106" s="46" t="s">
        <v>358</v>
      </c>
      <c r="X106" s="70" t="str">
        <f t="array" ref="X106">IFERROR(INDEX('5.29 Recipe Matrix (Unsorted)'!$C$5:$P$18,MATCH(R106,'5.29 Recipe Matrix (Unsorted)'!$A$5:$A$18,0),MATCH(U106,'5.29 Recipe Matrix (Unsorted)'!$C$3:$P$3,0)),"")</f>
        <v>702 Dust</v>
      </c>
      <c r="Y106" s="65"/>
      <c r="Z106" s="43"/>
    </row>
    <row r="107" spans="1:26" ht="37.5" customHeight="1">
      <c r="A107" s="43"/>
      <c r="B107" s="66" t="str">
        <f ca="1">IFERROR(VLOOKUP(R107,Images!$A:$C,3,FALSE),R107)</f>
        <v>Beetle</v>
      </c>
      <c r="C107" s="65"/>
      <c r="D107" s="46" t="s">
        <v>357</v>
      </c>
      <c r="E107" s="66" t="str">
        <f ca="1">IFERROR(VLOOKUP(U107,Images!$A:$C,3,FALSE),"")</f>
        <v/>
      </c>
      <c r="F107" s="65"/>
      <c r="G107" s="46" t="s">
        <v>358</v>
      </c>
      <c r="H107" s="64" t="str">
        <f>IFERROR(VLOOKUP(X107,Images!$A:$C,3,FALSE),X107)</f>
        <v>118 Currency</v>
      </c>
      <c r="I107" s="65"/>
      <c r="J107" s="43"/>
      <c r="K107" s="43"/>
      <c r="L107" s="43"/>
      <c r="M107" s="43"/>
      <c r="N107" s="43"/>
      <c r="O107" s="43"/>
      <c r="P107" s="43"/>
      <c r="Q107" s="43"/>
      <c r="R107" s="66" t="str">
        <f t="shared" si="5"/>
        <v>Beetle</v>
      </c>
      <c r="S107" s="65"/>
      <c r="T107" s="46" t="s">
        <v>357</v>
      </c>
      <c r="U107" s="66" t="str">
        <f>Images!$A$12</f>
        <v>Essence</v>
      </c>
      <c r="V107" s="65"/>
      <c r="W107" s="46" t="s">
        <v>358</v>
      </c>
      <c r="X107" s="70" t="str">
        <f t="array" ref="X107">IFERROR(INDEX('5.29 Recipe Matrix (Unsorted)'!$C$5:$P$18,MATCH(R107,'5.29 Recipe Matrix (Unsorted)'!$A$5:$A$18,0),MATCH(U107,'5.29 Recipe Matrix (Unsorted)'!$C$3:$P$3,0)),"")</f>
        <v>118 Currency</v>
      </c>
      <c r="Y107" s="65"/>
      <c r="Z107" s="43"/>
    </row>
    <row r="108" spans="1:26" ht="37.5" customHeight="1">
      <c r="A108" s="43"/>
      <c r="B108" s="66" t="str">
        <f ca="1">IFERROR(VLOOKUP(R108,Images!$A:$C,3,FALSE),R108)</f>
        <v>Beetle</v>
      </c>
      <c r="C108" s="65"/>
      <c r="D108" s="46" t="s">
        <v>357</v>
      </c>
      <c r="E108" s="66" t="str">
        <f ca="1">IFERROR(VLOOKUP(U108,Images!$A:$C,3,FALSE),"")</f>
        <v/>
      </c>
      <c r="F108" s="65"/>
      <c r="G108" s="46" t="s">
        <v>358</v>
      </c>
      <c r="H108" s="64" t="str">
        <f>IFERROR(VLOOKUP(X108,Images!$A:$C,3,FALSE),X108)</f>
        <v>137 Currency</v>
      </c>
      <c r="I108" s="65"/>
      <c r="J108" s="43"/>
      <c r="K108" s="43"/>
      <c r="L108" s="43"/>
      <c r="M108" s="43"/>
      <c r="N108" s="43"/>
      <c r="O108" s="43"/>
      <c r="P108" s="43"/>
      <c r="Q108" s="43"/>
      <c r="R108" s="66" t="str">
        <f t="shared" si="5"/>
        <v>Beetle</v>
      </c>
      <c r="S108" s="65"/>
      <c r="T108" s="46" t="s">
        <v>357</v>
      </c>
      <c r="U108" s="66" t="str">
        <f>Images!$A$13</f>
        <v>Power</v>
      </c>
      <c r="V108" s="65"/>
      <c r="W108" s="46" t="s">
        <v>358</v>
      </c>
      <c r="X108" s="70" t="str">
        <f t="array" ref="X108">IFERROR(INDEX('5.29 Recipe Matrix (Unsorted)'!$C$5:$P$18,MATCH(R108,'5.29 Recipe Matrix (Unsorted)'!$A$5:$A$18,0),MATCH(U108,'5.29 Recipe Matrix (Unsorted)'!$C$3:$P$3,0)),"")</f>
        <v>137 Currency</v>
      </c>
      <c r="Y108" s="65"/>
      <c r="Z108" s="43"/>
    </row>
    <row r="109" spans="1:26" ht="37.5" customHeight="1">
      <c r="A109" s="43"/>
      <c r="B109" s="66" t="str">
        <f ca="1">IFERROR(VLOOKUP(R109,Images!$A:$C,3,FALSE),R109)</f>
        <v>Beetle</v>
      </c>
      <c r="C109" s="65"/>
      <c r="D109" s="46" t="s">
        <v>357</v>
      </c>
      <c r="E109" s="66" t="str">
        <f ca="1">IFERROR(VLOOKUP(U109,Images!$A:$C,3,FALSE),"")</f>
        <v/>
      </c>
      <c r="F109" s="65"/>
      <c r="G109" s="46" t="s">
        <v>358</v>
      </c>
      <c r="H109" s="64" t="str">
        <f>IFERROR(VLOOKUP(X109,Images!$A:$C,3,FALSE),X109)</f>
        <v/>
      </c>
      <c r="I109" s="65"/>
      <c r="J109" s="43"/>
      <c r="K109" s="43"/>
      <c r="L109" s="43"/>
      <c r="M109" s="43"/>
      <c r="N109" s="43"/>
      <c r="O109" s="43"/>
      <c r="P109" s="43"/>
      <c r="Q109" s="43"/>
      <c r="R109" s="66" t="str">
        <f t="shared" si="5"/>
        <v>Beetle</v>
      </c>
      <c r="S109" s="65"/>
      <c r="T109" s="46" t="s">
        <v>357</v>
      </c>
      <c r="U109" s="66" t="str">
        <f>Images!$A$14</f>
        <v>Shadow</v>
      </c>
      <c r="V109" s="65"/>
      <c r="W109" s="46" t="s">
        <v>358</v>
      </c>
      <c r="X109" s="70" t="str">
        <f t="array" ref="X109">IFERROR(INDEX('5.29 Recipe Matrix (Unsorted)'!$C$5:$P$18,MATCH(R109,'5.29 Recipe Matrix (Unsorted)'!$A$5:$A$18,0),MATCH(U109,'5.29 Recipe Matrix (Unsorted)'!$C$3:$P$3,0)),"")</f>
        <v/>
      </c>
      <c r="Y109" s="65"/>
      <c r="Z109" s="43"/>
    </row>
    <row r="110" spans="1:26" ht="37.5" customHeight="1">
      <c r="A110" s="43"/>
      <c r="B110" s="66" t="str">
        <f ca="1">IFERROR(VLOOKUP(R110,Images!$A:$C,3,FALSE),R110)</f>
        <v>Beetle</v>
      </c>
      <c r="C110" s="65"/>
      <c r="D110" s="46" t="s">
        <v>357</v>
      </c>
      <c r="E110" s="66" t="str">
        <f ca="1">IFERROR(VLOOKUP(U110,Images!$A:$C,3,FALSE),"")</f>
        <v/>
      </c>
      <c r="F110" s="65"/>
      <c r="G110" s="46" t="s">
        <v>358</v>
      </c>
      <c r="H110" s="64" t="str">
        <f>IFERROR(VLOOKUP(X110,Images!$A:$C,3,FALSE),X110)</f>
        <v/>
      </c>
      <c r="I110" s="65"/>
      <c r="J110" s="43"/>
      <c r="K110" s="43"/>
      <c r="L110" s="43"/>
      <c r="M110" s="43"/>
      <c r="N110" s="43"/>
      <c r="O110" s="43"/>
      <c r="P110" s="43"/>
      <c r="Q110" s="43"/>
      <c r="R110" s="66" t="str">
        <f t="shared" si="5"/>
        <v>Beetle</v>
      </c>
      <c r="S110" s="65"/>
      <c r="T110" s="46" t="s">
        <v>357</v>
      </c>
      <c r="U110" s="66" t="str">
        <f>Images!$A$15</f>
        <v>Spirit</v>
      </c>
      <c r="V110" s="65"/>
      <c r="W110" s="46" t="s">
        <v>358</v>
      </c>
      <c r="X110" s="70" t="str">
        <f t="array" ref="X110">IFERROR(INDEX('5.29 Recipe Matrix (Unsorted)'!$C$5:$P$18,MATCH(R110,'5.29 Recipe Matrix (Unsorted)'!$A$5:$A$18,0),MATCH(U110,'5.29 Recipe Matrix (Unsorted)'!$C$3:$P$3,0)),"")</f>
        <v/>
      </c>
      <c r="Y110" s="65"/>
      <c r="Z110" s="43"/>
    </row>
    <row r="111" spans="1:26" ht="37.5" customHeight="1">
      <c r="A111" s="43"/>
      <c r="B111" s="43"/>
      <c r="C111" s="43"/>
      <c r="D111" s="43"/>
      <c r="E111" s="43"/>
      <c r="F111" s="43"/>
      <c r="G111" s="43"/>
      <c r="H111" s="67" t="str">
        <f>HYPERLINK("https://docs.google.com/spreadsheets/d/1o95Ipwx6NIyFV3LCz9LGNbH9_WELHF-pbpkM31YwXyY/edit#gid=0&amp;range=A1","Back to Top")</f>
        <v>Back to Top</v>
      </c>
      <c r="I111" s="65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67" t="str">
        <f>HYPERLINK("https://docs.google.com/spreadsheets/d/1o95Ipwx6NIyFV3LCz9LGNbH9_WELHF-pbpkM31YwXyY/edit#gid=0&amp;range=A1","Back to Top")</f>
        <v>Back to Top</v>
      </c>
      <c r="Y111" s="65"/>
      <c r="Z111" s="43"/>
    </row>
    <row r="112" spans="1:26" ht="37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37.5" customHeight="1">
      <c r="A113" s="43"/>
      <c r="B113" s="68" t="str">
        <f>R113</f>
        <v>Tooth Recipes</v>
      </c>
      <c r="C113" s="69"/>
      <c r="D113" s="69"/>
      <c r="E113" s="69"/>
      <c r="F113" s="69"/>
      <c r="G113" s="69"/>
      <c r="H113" s="69"/>
      <c r="I113" s="65"/>
      <c r="J113" s="43"/>
      <c r="K113" s="43"/>
      <c r="L113" s="43"/>
      <c r="M113" s="43"/>
      <c r="N113" s="43"/>
      <c r="O113" s="43"/>
      <c r="P113" s="43"/>
      <c r="Q113" s="43"/>
      <c r="R113" s="68" t="str">
        <f>R114 &amp; " Recipes"</f>
        <v>Tooth Recipes</v>
      </c>
      <c r="S113" s="69"/>
      <c r="T113" s="69"/>
      <c r="U113" s="69"/>
      <c r="V113" s="69"/>
      <c r="W113" s="69"/>
      <c r="X113" s="69"/>
      <c r="Y113" s="65"/>
      <c r="Z113" s="43"/>
    </row>
    <row r="114" spans="1:26" ht="37.5" customHeight="1">
      <c r="A114" s="43"/>
      <c r="B114" s="66" t="str">
        <f ca="1">IFERROR(VLOOKUP(R114,Images!$A:$C,3,FALSE),R114)</f>
        <v>Tooth</v>
      </c>
      <c r="C114" s="65"/>
      <c r="D114" s="46" t="s">
        <v>357</v>
      </c>
      <c r="E114" s="66" t="str">
        <f ca="1">IFERROR(VLOOKUP(U114,Images!$A:$C,3,FALSE),"")</f>
        <v/>
      </c>
      <c r="F114" s="65"/>
      <c r="G114" s="46" t="s">
        <v>358</v>
      </c>
      <c r="H114" s="64" t="str">
        <f>IFERROR(VLOOKUP(X114,Images!$A:$C,3,FALSE),X114)</f>
        <v/>
      </c>
      <c r="I114" s="65"/>
      <c r="J114" s="43"/>
      <c r="K114" s="43"/>
      <c r="L114" s="43"/>
      <c r="M114" s="43"/>
      <c r="N114" s="43"/>
      <c r="O114" s="43"/>
      <c r="P114" s="43"/>
      <c r="Q114" s="43"/>
      <c r="R114" s="66" t="str">
        <f>Images!$A$8</f>
        <v>Tooth</v>
      </c>
      <c r="S114" s="65"/>
      <c r="T114" s="46" t="s">
        <v>357</v>
      </c>
      <c r="U114" s="66" t="str">
        <f>Images!$A$2</f>
        <v>Leaf</v>
      </c>
      <c r="V114" s="65"/>
      <c r="W114" s="46" t="s">
        <v>358</v>
      </c>
      <c r="X114" s="70" t="str">
        <f t="array" ref="X114">IFERROR(INDEX('5.29 Recipe Matrix (Unsorted)'!$C$5:$P$18,MATCH(R114,'5.29 Recipe Matrix (Unsorted)'!$A$5:$A$18,0),MATCH(U114,'5.29 Recipe Matrix (Unsorted)'!$C$3:$P$3,0)),"")</f>
        <v/>
      </c>
      <c r="Y114" s="65"/>
      <c r="Z114" s="43"/>
    </row>
    <row r="115" spans="1:26" ht="37.5" customHeight="1">
      <c r="A115" s="43"/>
      <c r="B115" s="66" t="str">
        <f ca="1">IFERROR(VLOOKUP(R115,Images!$A:$C,3,FALSE),R115)</f>
        <v>Tooth</v>
      </c>
      <c r="C115" s="65"/>
      <c r="D115" s="46" t="s">
        <v>357</v>
      </c>
      <c r="E115" s="66" t="str">
        <f ca="1">IFERROR(VLOOKUP(U115,Images!$A:$C,3,FALSE),"")</f>
        <v/>
      </c>
      <c r="F115" s="65"/>
      <c r="G115" s="46" t="s">
        <v>358</v>
      </c>
      <c r="H115" s="64" t="str">
        <f>IFERROR(VLOOKUP(X115,Images!$A:$C,3,FALSE),X115)</f>
        <v/>
      </c>
      <c r="I115" s="65"/>
      <c r="J115" s="43"/>
      <c r="K115" s="43"/>
      <c r="L115" s="43"/>
      <c r="M115" s="43"/>
      <c r="N115" s="43"/>
      <c r="O115" s="43"/>
      <c r="P115" s="43"/>
      <c r="Q115" s="43"/>
      <c r="R115" s="66" t="str">
        <f t="shared" ref="R115:R127" si="6">R114</f>
        <v>Tooth</v>
      </c>
      <c r="S115" s="65"/>
      <c r="T115" s="46" t="s">
        <v>357</v>
      </c>
      <c r="U115" s="66" t="str">
        <f>Images!$A$3</f>
        <v>Sand</v>
      </c>
      <c r="V115" s="65"/>
      <c r="W115" s="46" t="s">
        <v>358</v>
      </c>
      <c r="X115" s="70" t="str">
        <f t="array" ref="X115">IFERROR(INDEX('5.29 Recipe Matrix (Unsorted)'!$C$5:$P$18,MATCH(R115,'5.29 Recipe Matrix (Unsorted)'!$A$5:$A$18,0),MATCH(U115,'5.29 Recipe Matrix (Unsorted)'!$C$3:$P$3,0)),"")</f>
        <v/>
      </c>
      <c r="Y115" s="65"/>
      <c r="Z115" s="43"/>
    </row>
    <row r="116" spans="1:26" ht="37.5" customHeight="1">
      <c r="A116" s="43"/>
      <c r="B116" s="66" t="str">
        <f ca="1">IFERROR(VLOOKUP(R116,Images!$A:$C,3,FALSE),R116)</f>
        <v>Tooth</v>
      </c>
      <c r="C116" s="65"/>
      <c r="D116" s="46" t="s">
        <v>357</v>
      </c>
      <c r="E116" s="66" t="str">
        <f ca="1">IFERROR(VLOOKUP(U116,Images!$A:$C,3,FALSE),"")</f>
        <v/>
      </c>
      <c r="F116" s="65"/>
      <c r="G116" s="46" t="s">
        <v>358</v>
      </c>
      <c r="H116" s="64" t="str">
        <f>IFERROR(VLOOKUP(X116,Images!$A:$C,3,FALSE),X116)</f>
        <v/>
      </c>
      <c r="I116" s="65"/>
      <c r="J116" s="43"/>
      <c r="K116" s="43"/>
      <c r="L116" s="43"/>
      <c r="M116" s="43"/>
      <c r="N116" s="43"/>
      <c r="O116" s="43"/>
      <c r="P116" s="43"/>
      <c r="Q116" s="43"/>
      <c r="R116" s="66" t="str">
        <f t="shared" si="6"/>
        <v>Tooth</v>
      </c>
      <c r="S116" s="65"/>
      <c r="T116" s="46" t="s">
        <v>357</v>
      </c>
      <c r="U116" s="66" t="str">
        <f>Images!$A$4</f>
        <v>Water</v>
      </c>
      <c r="V116" s="65"/>
      <c r="W116" s="46" t="s">
        <v>358</v>
      </c>
      <c r="X116" s="70" t="str">
        <f t="array" ref="X116">IFERROR(INDEX('5.29 Recipe Matrix (Unsorted)'!$C$5:$P$18,MATCH(R116,'5.29 Recipe Matrix (Unsorted)'!$A$5:$A$18,0),MATCH(U116,'5.29 Recipe Matrix (Unsorted)'!$C$3:$P$3,0)),"")</f>
        <v/>
      </c>
      <c r="Y116" s="65"/>
      <c r="Z116" s="43"/>
    </row>
    <row r="117" spans="1:26" ht="37.5" customHeight="1">
      <c r="A117" s="43"/>
      <c r="B117" s="66" t="str">
        <f ca="1">IFERROR(VLOOKUP(R117,Images!$A:$C,3,FALSE),R117)</f>
        <v>Tooth</v>
      </c>
      <c r="C117" s="65"/>
      <c r="D117" s="46" t="s">
        <v>357</v>
      </c>
      <c r="E117" s="66" t="str">
        <f ca="1">IFERROR(VLOOKUP(U117,Images!$A:$C,3,FALSE),"")</f>
        <v/>
      </c>
      <c r="F117" s="65"/>
      <c r="G117" s="46" t="s">
        <v>358</v>
      </c>
      <c r="H117" s="64" t="str">
        <f>IFERROR(VLOOKUP(X117,Images!$A:$C,3,FALSE),X117)</f>
        <v/>
      </c>
      <c r="I117" s="65"/>
      <c r="J117" s="43"/>
      <c r="K117" s="43"/>
      <c r="L117" s="43"/>
      <c r="M117" s="43"/>
      <c r="N117" s="43"/>
      <c r="O117" s="43"/>
      <c r="P117" s="43"/>
      <c r="Q117" s="43"/>
      <c r="R117" s="66" t="str">
        <f t="shared" si="6"/>
        <v>Tooth</v>
      </c>
      <c r="S117" s="65"/>
      <c r="T117" s="46" t="s">
        <v>357</v>
      </c>
      <c r="U117" s="66" t="str">
        <f>Images!$A$5</f>
        <v>Lightning</v>
      </c>
      <c r="V117" s="65"/>
      <c r="W117" s="46" t="s">
        <v>358</v>
      </c>
      <c r="X117" s="70" t="str">
        <f t="array" ref="X117">IFERROR(INDEX('5.29 Recipe Matrix (Unsorted)'!$C$5:$P$18,MATCH(R117,'5.29 Recipe Matrix (Unsorted)'!$A$5:$A$18,0),MATCH(U117,'5.29 Recipe Matrix (Unsorted)'!$C$3:$P$3,0)),"")</f>
        <v/>
      </c>
      <c r="Y117" s="65"/>
      <c r="Z117" s="43"/>
    </row>
    <row r="118" spans="1:26" ht="37.5" customHeight="1">
      <c r="A118" s="43"/>
      <c r="B118" s="66" t="str">
        <f ca="1">IFERROR(VLOOKUP(R118,Images!$A:$C,3,FALSE),R118)</f>
        <v>Tooth</v>
      </c>
      <c r="C118" s="65"/>
      <c r="D118" s="46" t="s">
        <v>357</v>
      </c>
      <c r="E118" s="66" t="str">
        <f ca="1">IFERROR(VLOOKUP(U118,Images!$A:$C,3,FALSE),"")</f>
        <v/>
      </c>
      <c r="F118" s="65"/>
      <c r="G118" s="46" t="s">
        <v>358</v>
      </c>
      <c r="H118" s="64" t="str">
        <f>IFERROR(VLOOKUP(X118,Images!$A:$C,3,FALSE),X118)</f>
        <v/>
      </c>
      <c r="I118" s="65"/>
      <c r="J118" s="43"/>
      <c r="K118" s="43"/>
      <c r="L118" s="43"/>
      <c r="M118" s="43"/>
      <c r="N118" s="43"/>
      <c r="O118" s="43"/>
      <c r="P118" s="43"/>
      <c r="Q118" s="43"/>
      <c r="R118" s="66" t="str">
        <f t="shared" si="6"/>
        <v>Tooth</v>
      </c>
      <c r="S118" s="65"/>
      <c r="T118" s="46" t="s">
        <v>357</v>
      </c>
      <c r="U118" s="66" t="str">
        <f>Images!$A$6</f>
        <v>Poison</v>
      </c>
      <c r="V118" s="65"/>
      <c r="W118" s="46" t="s">
        <v>358</v>
      </c>
      <c r="X118" s="70" t="str">
        <f t="array" ref="X118">IFERROR(INDEX('5.29 Recipe Matrix (Unsorted)'!$C$5:$P$18,MATCH(R118,'5.29 Recipe Matrix (Unsorted)'!$A$5:$A$18,0),MATCH(U118,'5.29 Recipe Matrix (Unsorted)'!$C$3:$P$3,0)),"")</f>
        <v/>
      </c>
      <c r="Y118" s="65"/>
      <c r="Z118" s="43"/>
    </row>
    <row r="119" spans="1:26" ht="37.5" customHeight="1">
      <c r="A119" s="43"/>
      <c r="B119" s="66" t="str">
        <f ca="1">IFERROR(VLOOKUP(R119,Images!$A:$C,3,FALSE),R119)</f>
        <v>Tooth</v>
      </c>
      <c r="C119" s="65"/>
      <c r="D119" s="46" t="s">
        <v>357</v>
      </c>
      <c r="E119" s="66" t="str">
        <f ca="1">IFERROR(VLOOKUP(U119,Images!$A:$C,3,FALSE),"")</f>
        <v/>
      </c>
      <c r="F119" s="65"/>
      <c r="G119" s="46" t="s">
        <v>358</v>
      </c>
      <c r="H119" s="64" t="str">
        <f>IFERROR(VLOOKUP(X119,Images!$A:$C,3,FALSE),X119)</f>
        <v/>
      </c>
      <c r="I119" s="65"/>
      <c r="J119" s="43"/>
      <c r="K119" s="43"/>
      <c r="L119" s="43"/>
      <c r="M119" s="43"/>
      <c r="N119" s="43"/>
      <c r="O119" s="43"/>
      <c r="P119" s="43"/>
      <c r="Q119" s="43"/>
      <c r="R119" s="66" t="str">
        <f t="shared" si="6"/>
        <v>Tooth</v>
      </c>
      <c r="S119" s="65"/>
      <c r="T119" s="46" t="s">
        <v>357</v>
      </c>
      <c r="U119" s="66" t="str">
        <f>Images!$A$7</f>
        <v>Beetle</v>
      </c>
      <c r="V119" s="65"/>
      <c r="W119" s="46" t="s">
        <v>358</v>
      </c>
      <c r="X119" s="70" t="str">
        <f t="array" ref="X119">IFERROR(INDEX('5.29 Recipe Matrix (Unsorted)'!$C$5:$P$18,MATCH(R119,'5.29 Recipe Matrix (Unsorted)'!$A$5:$A$18,0),MATCH(U119,'5.29 Recipe Matrix (Unsorted)'!$C$3:$P$3,0)),"")</f>
        <v/>
      </c>
      <c r="Y119" s="65"/>
      <c r="Z119" s="43"/>
    </row>
    <row r="120" spans="1:26" ht="37.5" customHeight="1">
      <c r="A120" s="43"/>
      <c r="B120" s="66" t="str">
        <f ca="1">IFERROR(VLOOKUP(R120,Images!$A:$C,3,FALSE),R120)</f>
        <v>Tooth</v>
      </c>
      <c r="C120" s="65"/>
      <c r="D120" s="46" t="s">
        <v>357</v>
      </c>
      <c r="E120" s="66" t="str">
        <f ca="1">IFERROR(VLOOKUP(U120,Images!$A:$C,3,FALSE),"")</f>
        <v/>
      </c>
      <c r="F120" s="65"/>
      <c r="G120" s="46" t="s">
        <v>358</v>
      </c>
      <c r="H120" s="64" t="str">
        <f>IFERROR(VLOOKUP(X120,Images!$A:$C,3,FALSE),X120)</f>
        <v/>
      </c>
      <c r="I120" s="65"/>
      <c r="J120" s="43"/>
      <c r="K120" s="43"/>
      <c r="L120" s="43"/>
      <c r="M120" s="43"/>
      <c r="N120" s="43"/>
      <c r="O120" s="43"/>
      <c r="P120" s="43"/>
      <c r="Q120" s="43"/>
      <c r="R120" s="66" t="str">
        <f t="shared" si="6"/>
        <v>Tooth</v>
      </c>
      <c r="S120" s="65"/>
      <c r="T120" s="46" t="s">
        <v>357</v>
      </c>
      <c r="U120" s="66" t="str">
        <f>Images!$A$8</f>
        <v>Tooth</v>
      </c>
      <c r="V120" s="65"/>
      <c r="W120" s="46" t="s">
        <v>358</v>
      </c>
      <c r="X120" s="70" t="str">
        <f t="array" ref="X120">IFERROR(INDEX('5.29 Recipe Matrix (Unsorted)'!$C$5:$P$18,MATCH(R120,'5.29 Recipe Matrix (Unsorted)'!$A$5:$A$18,0),MATCH(U120,'5.29 Recipe Matrix (Unsorted)'!$C$3:$P$3,0)),"")</f>
        <v/>
      </c>
      <c r="Y120" s="65"/>
      <c r="Z120" s="43"/>
    </row>
    <row r="121" spans="1:26" ht="37.5" customHeight="1">
      <c r="A121" s="43"/>
      <c r="B121" s="66" t="str">
        <f ca="1">IFERROR(VLOOKUP(R121,Images!$A:$C,3,FALSE),R121)</f>
        <v>Tooth</v>
      </c>
      <c r="C121" s="65"/>
      <c r="D121" s="46" t="s">
        <v>357</v>
      </c>
      <c r="E121" s="66" t="str">
        <f ca="1">IFERROR(VLOOKUP(U121,Images!$A:$C,3,FALSE),"")</f>
        <v/>
      </c>
      <c r="F121" s="65"/>
      <c r="G121" s="46" t="s">
        <v>358</v>
      </c>
      <c r="H121" s="64" t="str">
        <f>IFERROR(VLOOKUP(X121,Images!$A:$C,3,FALSE),X121)</f>
        <v/>
      </c>
      <c r="I121" s="65"/>
      <c r="J121" s="43"/>
      <c r="K121" s="43"/>
      <c r="L121" s="43"/>
      <c r="M121" s="43"/>
      <c r="N121" s="43"/>
      <c r="O121" s="43"/>
      <c r="P121" s="43"/>
      <c r="Q121" s="43"/>
      <c r="R121" s="66" t="str">
        <f t="shared" si="6"/>
        <v>Tooth</v>
      </c>
      <c r="S121" s="65"/>
      <c r="T121" s="46" t="s">
        <v>357</v>
      </c>
      <c r="U121" s="66" t="str">
        <f>Images!$A$9</f>
        <v>Flame</v>
      </c>
      <c r="V121" s="65"/>
      <c r="W121" s="46" t="s">
        <v>358</v>
      </c>
      <c r="X121" s="70" t="str">
        <f t="array" ref="X121">IFERROR(INDEX('5.29 Recipe Matrix (Unsorted)'!$C$5:$P$18,MATCH(R121,'5.29 Recipe Matrix (Unsorted)'!$A$5:$A$18,0),MATCH(U121,'5.29 Recipe Matrix (Unsorted)'!$C$3:$P$3,0)),"")</f>
        <v/>
      </c>
      <c r="Y121" s="65"/>
      <c r="Z121" s="43"/>
    </row>
    <row r="122" spans="1:26" ht="37.5" customHeight="1">
      <c r="A122" s="43"/>
      <c r="B122" s="66" t="str">
        <f ca="1">IFERROR(VLOOKUP(R122,Images!$A:$C,3,FALSE),R122)</f>
        <v>Tooth</v>
      </c>
      <c r="C122" s="65"/>
      <c r="D122" s="46" t="s">
        <v>357</v>
      </c>
      <c r="E122" s="66" t="str">
        <f ca="1">IFERROR(VLOOKUP(U122,Images!$A:$C,3,FALSE),"")</f>
        <v/>
      </c>
      <c r="F122" s="65"/>
      <c r="G122" s="46" t="s">
        <v>358</v>
      </c>
      <c r="H122" s="64" t="str">
        <f>IFERROR(VLOOKUP(X122,Images!$A:$C,3,FALSE),X122)</f>
        <v/>
      </c>
      <c r="I122" s="65"/>
      <c r="J122" s="43"/>
      <c r="K122" s="43"/>
      <c r="L122" s="43"/>
      <c r="M122" s="43"/>
      <c r="N122" s="43"/>
      <c r="O122" s="43"/>
      <c r="P122" s="43"/>
      <c r="Q122" s="43"/>
      <c r="R122" s="66" t="str">
        <f t="shared" si="6"/>
        <v>Tooth</v>
      </c>
      <c r="S122" s="65"/>
      <c r="T122" s="46" t="s">
        <v>357</v>
      </c>
      <c r="U122" s="66" t="str">
        <f>Images!$A$10</f>
        <v>Steel</v>
      </c>
      <c r="V122" s="65"/>
      <c r="W122" s="46" t="s">
        <v>358</v>
      </c>
      <c r="X122" s="70" t="str">
        <f t="array" ref="X122">IFERROR(INDEX('5.29 Recipe Matrix (Unsorted)'!$C$5:$P$18,MATCH(R122,'5.29 Recipe Matrix (Unsorted)'!$A$5:$A$18,0),MATCH(U122,'5.29 Recipe Matrix (Unsorted)'!$C$3:$P$3,0)),"")</f>
        <v/>
      </c>
      <c r="Y122" s="65"/>
      <c r="Z122" s="43"/>
    </row>
    <row r="123" spans="1:26" ht="37.5" customHeight="1">
      <c r="A123" s="43"/>
      <c r="B123" s="66" t="str">
        <f ca="1">IFERROR(VLOOKUP(R123,Images!$A:$C,3,FALSE),R123)</f>
        <v>Tooth</v>
      </c>
      <c r="C123" s="65"/>
      <c r="D123" s="46" t="s">
        <v>357</v>
      </c>
      <c r="E123" s="66" t="str">
        <f ca="1">IFERROR(VLOOKUP(U123,Images!$A:$C,3,FALSE),"")</f>
        <v/>
      </c>
      <c r="F123" s="65"/>
      <c r="G123" s="46" t="s">
        <v>358</v>
      </c>
      <c r="H123" s="64" t="str">
        <f>IFERROR(VLOOKUP(X123,Images!$A:$C,3,FALSE),X123)</f>
        <v/>
      </c>
      <c r="I123" s="65"/>
      <c r="J123" s="43"/>
      <c r="K123" s="43"/>
      <c r="L123" s="43"/>
      <c r="M123" s="43"/>
      <c r="N123" s="43"/>
      <c r="O123" s="43"/>
      <c r="P123" s="43"/>
      <c r="Q123" s="43"/>
      <c r="R123" s="66" t="str">
        <f t="shared" si="6"/>
        <v>Tooth</v>
      </c>
      <c r="S123" s="65"/>
      <c r="T123" s="46" t="s">
        <v>357</v>
      </c>
      <c r="U123" s="66" t="str">
        <f>Images!$A$11</f>
        <v>Scale</v>
      </c>
      <c r="V123" s="65"/>
      <c r="W123" s="46" t="s">
        <v>358</v>
      </c>
      <c r="X123" s="70" t="str">
        <f t="array" ref="X123">IFERROR(INDEX('5.29 Recipe Matrix (Unsorted)'!$C$5:$P$18,MATCH(R123,'5.29 Recipe Matrix (Unsorted)'!$A$5:$A$18,0),MATCH(U123,'5.29 Recipe Matrix (Unsorted)'!$C$3:$P$3,0)),"")</f>
        <v/>
      </c>
      <c r="Y123" s="65"/>
      <c r="Z123" s="43"/>
    </row>
    <row r="124" spans="1:26" ht="37.5" customHeight="1">
      <c r="A124" s="43"/>
      <c r="B124" s="66" t="str">
        <f ca="1">IFERROR(VLOOKUP(R124,Images!$A:$C,3,FALSE),R124)</f>
        <v>Tooth</v>
      </c>
      <c r="C124" s="65"/>
      <c r="D124" s="46" t="s">
        <v>357</v>
      </c>
      <c r="E124" s="66" t="str">
        <f ca="1">IFERROR(VLOOKUP(U124,Images!$A:$C,3,FALSE),"")</f>
        <v/>
      </c>
      <c r="F124" s="65"/>
      <c r="G124" s="46" t="s">
        <v>358</v>
      </c>
      <c r="H124" s="64" t="str">
        <f>IFERROR(VLOOKUP(X124,Images!$A:$C,3,FALSE),X124)</f>
        <v/>
      </c>
      <c r="I124" s="65"/>
      <c r="J124" s="43"/>
      <c r="K124" s="43"/>
      <c r="L124" s="43"/>
      <c r="M124" s="43"/>
      <c r="N124" s="43"/>
      <c r="O124" s="43"/>
      <c r="P124" s="43"/>
      <c r="Q124" s="43"/>
      <c r="R124" s="66" t="str">
        <f t="shared" si="6"/>
        <v>Tooth</v>
      </c>
      <c r="S124" s="65"/>
      <c r="T124" s="46" t="s">
        <v>357</v>
      </c>
      <c r="U124" s="66" t="str">
        <f>Images!$A$12</f>
        <v>Essence</v>
      </c>
      <c r="V124" s="65"/>
      <c r="W124" s="46" t="s">
        <v>358</v>
      </c>
      <c r="X124" s="70" t="str">
        <f t="array" ref="X124">IFERROR(INDEX('5.29 Recipe Matrix (Unsorted)'!$C$5:$P$18,MATCH(R124,'5.29 Recipe Matrix (Unsorted)'!$A$5:$A$18,0),MATCH(U124,'5.29 Recipe Matrix (Unsorted)'!$C$3:$P$3,0)),"")</f>
        <v/>
      </c>
      <c r="Y124" s="65"/>
      <c r="Z124" s="43"/>
    </row>
    <row r="125" spans="1:26" ht="37.5" customHeight="1">
      <c r="A125" s="43"/>
      <c r="B125" s="66" t="str">
        <f ca="1">IFERROR(VLOOKUP(R125,Images!$A:$C,3,FALSE),R125)</f>
        <v>Tooth</v>
      </c>
      <c r="C125" s="65"/>
      <c r="D125" s="46" t="s">
        <v>357</v>
      </c>
      <c r="E125" s="66" t="str">
        <f ca="1">IFERROR(VLOOKUP(U125,Images!$A:$C,3,FALSE),"")</f>
        <v/>
      </c>
      <c r="F125" s="65"/>
      <c r="G125" s="46" t="s">
        <v>358</v>
      </c>
      <c r="H125" s="64" t="str">
        <f>IFERROR(VLOOKUP(X125,Images!$A:$C,3,FALSE),X125)</f>
        <v/>
      </c>
      <c r="I125" s="65"/>
      <c r="J125" s="43"/>
      <c r="K125" s="43"/>
      <c r="L125" s="43"/>
      <c r="M125" s="43"/>
      <c r="N125" s="43"/>
      <c r="O125" s="43"/>
      <c r="P125" s="43"/>
      <c r="Q125" s="43"/>
      <c r="R125" s="66" t="str">
        <f t="shared" si="6"/>
        <v>Tooth</v>
      </c>
      <c r="S125" s="65"/>
      <c r="T125" s="46" t="s">
        <v>357</v>
      </c>
      <c r="U125" s="66" t="str">
        <f>Images!$A$13</f>
        <v>Power</v>
      </c>
      <c r="V125" s="65"/>
      <c r="W125" s="46" t="s">
        <v>358</v>
      </c>
      <c r="X125" s="70" t="str">
        <f t="array" ref="X125">IFERROR(INDEX('5.29 Recipe Matrix (Unsorted)'!$C$5:$P$18,MATCH(R125,'5.29 Recipe Matrix (Unsorted)'!$A$5:$A$18,0),MATCH(U125,'5.29 Recipe Matrix (Unsorted)'!$C$3:$P$3,0)),"")</f>
        <v/>
      </c>
      <c r="Y125" s="65"/>
      <c r="Z125" s="43"/>
    </row>
    <row r="126" spans="1:26" ht="37.5" customHeight="1">
      <c r="A126" s="43"/>
      <c r="B126" s="66" t="str">
        <f ca="1">IFERROR(VLOOKUP(R126,Images!$A:$C,3,FALSE),R126)</f>
        <v>Tooth</v>
      </c>
      <c r="C126" s="65"/>
      <c r="D126" s="46" t="s">
        <v>357</v>
      </c>
      <c r="E126" s="66" t="str">
        <f ca="1">IFERROR(VLOOKUP(U126,Images!$A:$C,3,FALSE),"")</f>
        <v/>
      </c>
      <c r="F126" s="65"/>
      <c r="G126" s="46" t="s">
        <v>358</v>
      </c>
      <c r="H126" s="64" t="str">
        <f>IFERROR(VLOOKUP(X126,Images!$A:$C,3,FALSE),X126)</f>
        <v/>
      </c>
      <c r="I126" s="65"/>
      <c r="J126" s="43"/>
      <c r="K126" s="43"/>
      <c r="L126" s="43"/>
      <c r="M126" s="43"/>
      <c r="N126" s="43"/>
      <c r="O126" s="43"/>
      <c r="P126" s="43"/>
      <c r="Q126" s="43"/>
      <c r="R126" s="66" t="str">
        <f t="shared" si="6"/>
        <v>Tooth</v>
      </c>
      <c r="S126" s="65"/>
      <c r="T126" s="46" t="s">
        <v>357</v>
      </c>
      <c r="U126" s="66" t="str">
        <f>Images!$A$14</f>
        <v>Shadow</v>
      </c>
      <c r="V126" s="65"/>
      <c r="W126" s="46" t="s">
        <v>358</v>
      </c>
      <c r="X126" s="70" t="str">
        <f t="array" ref="X126">IFERROR(INDEX('5.29 Recipe Matrix (Unsorted)'!$C$5:$P$18,MATCH(R126,'5.29 Recipe Matrix (Unsorted)'!$A$5:$A$18,0),MATCH(U126,'5.29 Recipe Matrix (Unsorted)'!$C$3:$P$3,0)),"")</f>
        <v/>
      </c>
      <c r="Y126" s="65"/>
      <c r="Z126" s="43"/>
    </row>
    <row r="127" spans="1:26" ht="37.5" customHeight="1">
      <c r="A127" s="43"/>
      <c r="B127" s="66" t="str">
        <f ca="1">IFERROR(VLOOKUP(R127,Images!$A:$C,3,FALSE),R127)</f>
        <v>Tooth</v>
      </c>
      <c r="C127" s="65"/>
      <c r="D127" s="46" t="s">
        <v>357</v>
      </c>
      <c r="E127" s="66" t="str">
        <f ca="1">IFERROR(VLOOKUP(U127,Images!$A:$C,3,FALSE),"")</f>
        <v/>
      </c>
      <c r="F127" s="65"/>
      <c r="G127" s="46" t="s">
        <v>358</v>
      </c>
      <c r="H127" s="64" t="str">
        <f>IFERROR(VLOOKUP(X127,Images!$A:$C,3,FALSE),X127)</f>
        <v/>
      </c>
      <c r="I127" s="65"/>
      <c r="J127" s="43"/>
      <c r="K127" s="43"/>
      <c r="L127" s="43"/>
      <c r="M127" s="43"/>
      <c r="N127" s="43"/>
      <c r="O127" s="43"/>
      <c r="P127" s="43"/>
      <c r="Q127" s="43"/>
      <c r="R127" s="66" t="str">
        <f t="shared" si="6"/>
        <v>Tooth</v>
      </c>
      <c r="S127" s="65"/>
      <c r="T127" s="46" t="s">
        <v>357</v>
      </c>
      <c r="U127" s="66" t="str">
        <f>Images!$A$15</f>
        <v>Spirit</v>
      </c>
      <c r="V127" s="65"/>
      <c r="W127" s="46" t="s">
        <v>358</v>
      </c>
      <c r="X127" s="70" t="str">
        <f t="array" ref="X127">IFERROR(INDEX('5.29 Recipe Matrix (Unsorted)'!$C$5:$P$18,MATCH(R127,'5.29 Recipe Matrix (Unsorted)'!$A$5:$A$18,0),MATCH(U127,'5.29 Recipe Matrix (Unsorted)'!$C$3:$P$3,0)),"")</f>
        <v/>
      </c>
      <c r="Y127" s="65"/>
      <c r="Z127" s="43"/>
    </row>
    <row r="128" spans="1:26" ht="37.5" customHeight="1">
      <c r="A128" s="43"/>
      <c r="B128" s="43"/>
      <c r="C128" s="43"/>
      <c r="D128" s="43"/>
      <c r="E128" s="43"/>
      <c r="F128" s="43"/>
      <c r="G128" s="43"/>
      <c r="H128" s="67" t="str">
        <f>HYPERLINK("https://docs.google.com/spreadsheets/d/1o95Ipwx6NIyFV3LCz9LGNbH9_WELHF-pbpkM31YwXyY/edit#gid=0&amp;range=A1","Back to Top")</f>
        <v>Back to Top</v>
      </c>
      <c r="I128" s="65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67" t="str">
        <f>HYPERLINK("https://docs.google.com/spreadsheets/d/1o95Ipwx6NIyFV3LCz9LGNbH9_WELHF-pbpkM31YwXyY/edit#gid=0&amp;range=A1","Back to Top")</f>
        <v>Back to Top</v>
      </c>
      <c r="Y128" s="65"/>
      <c r="Z128" s="43"/>
    </row>
    <row r="129" spans="1:26" ht="37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37.5" customHeight="1">
      <c r="A130" s="43"/>
      <c r="B130" s="68" t="str">
        <f>R130</f>
        <v>Flame Recipes</v>
      </c>
      <c r="C130" s="69"/>
      <c r="D130" s="69"/>
      <c r="E130" s="69"/>
      <c r="F130" s="69"/>
      <c r="G130" s="69"/>
      <c r="H130" s="69"/>
      <c r="I130" s="65"/>
      <c r="J130" s="43"/>
      <c r="K130" s="43"/>
      <c r="L130" s="43"/>
      <c r="M130" s="43"/>
      <c r="N130" s="43"/>
      <c r="O130" s="43"/>
      <c r="P130" s="43"/>
      <c r="Q130" s="43"/>
      <c r="R130" s="68" t="str">
        <f>R131 &amp; " Recipes"</f>
        <v>Flame Recipes</v>
      </c>
      <c r="S130" s="69"/>
      <c r="T130" s="69"/>
      <c r="U130" s="69"/>
      <c r="V130" s="69"/>
      <c r="W130" s="69"/>
      <c r="X130" s="69"/>
      <c r="Y130" s="65"/>
      <c r="Z130" s="43"/>
    </row>
    <row r="131" spans="1:26" ht="37.5" customHeight="1">
      <c r="A131" s="43"/>
      <c r="B131" s="66" t="str">
        <f ca="1">IFERROR(VLOOKUP(R131,Images!$A:$C,3,FALSE),R131)</f>
        <v>Flame</v>
      </c>
      <c r="C131" s="65"/>
      <c r="D131" s="46" t="s">
        <v>357</v>
      </c>
      <c r="E131" s="66" t="str">
        <f ca="1">IFERROR(VLOOKUP(U131,Images!$A:$C,3,FALSE),"")</f>
        <v/>
      </c>
      <c r="F131" s="65"/>
      <c r="G131" s="46" t="s">
        <v>358</v>
      </c>
      <c r="H131" s="64" t="str">
        <f>IFERROR(VLOOKUP(X131,Images!$A:$C,3,FALSE),X131)</f>
        <v>206 Dust</v>
      </c>
      <c r="I131" s="65"/>
      <c r="J131" s="43"/>
      <c r="K131" s="43"/>
      <c r="L131" s="43"/>
      <c r="M131" s="43"/>
      <c r="N131" s="43"/>
      <c r="O131" s="43"/>
      <c r="P131" s="43"/>
      <c r="Q131" s="43"/>
      <c r="R131" s="66" t="str">
        <f>Images!$A$9</f>
        <v>Flame</v>
      </c>
      <c r="S131" s="65"/>
      <c r="T131" s="46" t="s">
        <v>357</v>
      </c>
      <c r="U131" s="66" t="str">
        <f>Images!$A$2</f>
        <v>Leaf</v>
      </c>
      <c r="V131" s="65"/>
      <c r="W131" s="46" t="s">
        <v>358</v>
      </c>
      <c r="X131" s="70" t="str">
        <f t="array" ref="X131">IFERROR(INDEX('5.29 Recipe Matrix (Unsorted)'!$C$5:$P$18,MATCH(R131,'5.29 Recipe Matrix (Unsorted)'!$A$5:$A$18,0),MATCH(U131,'5.29 Recipe Matrix (Unsorted)'!$C$3:$P$3,0)),"")</f>
        <v>206 Dust</v>
      </c>
      <c r="Y131" s="65"/>
      <c r="Z131" s="43"/>
    </row>
    <row r="132" spans="1:26" ht="37.5" customHeight="1">
      <c r="A132" s="43"/>
      <c r="B132" s="66" t="str">
        <f ca="1">IFERROR(VLOOKUP(R132,Images!$A:$C,3,FALSE),R132)</f>
        <v>Flame</v>
      </c>
      <c r="C132" s="65"/>
      <c r="D132" s="46" t="s">
        <v>357</v>
      </c>
      <c r="E132" s="66" t="str">
        <f ca="1">IFERROR(VLOOKUP(U132,Images!$A:$C,3,FALSE),"")</f>
        <v/>
      </c>
      <c r="F132" s="65"/>
      <c r="G132" s="46" t="s">
        <v>358</v>
      </c>
      <c r="H132" s="64" t="str">
        <f>IFERROR(VLOOKUP(X132,Images!$A:$C,3,FALSE),X132)</f>
        <v/>
      </c>
      <c r="I132" s="65"/>
      <c r="J132" s="43"/>
      <c r="K132" s="43"/>
      <c r="L132" s="43"/>
      <c r="M132" s="43"/>
      <c r="N132" s="43"/>
      <c r="O132" s="43"/>
      <c r="P132" s="43"/>
      <c r="Q132" s="43"/>
      <c r="R132" s="66" t="str">
        <f t="shared" ref="R132:R144" si="7">R131</f>
        <v>Flame</v>
      </c>
      <c r="S132" s="65"/>
      <c r="T132" s="46" t="s">
        <v>357</v>
      </c>
      <c r="U132" s="66" t="str">
        <f>Images!$A$3</f>
        <v>Sand</v>
      </c>
      <c r="V132" s="65"/>
      <c r="W132" s="46" t="s">
        <v>358</v>
      </c>
      <c r="X132" s="70" t="str">
        <f t="array" ref="X132">IFERROR(INDEX('5.29 Recipe Matrix (Unsorted)'!$C$5:$P$18,MATCH(R132,'5.29 Recipe Matrix (Unsorted)'!$A$5:$A$18,0),MATCH(U132,'5.29 Recipe Matrix (Unsorted)'!$C$3:$P$3,0)),"")</f>
        <v/>
      </c>
      <c r="Y132" s="65"/>
      <c r="Z132" s="43"/>
    </row>
    <row r="133" spans="1:26" ht="37.5" customHeight="1">
      <c r="A133" s="43"/>
      <c r="B133" s="66" t="str">
        <f ca="1">IFERROR(VLOOKUP(R133,Images!$A:$C,3,FALSE),R133)</f>
        <v>Flame</v>
      </c>
      <c r="C133" s="65"/>
      <c r="D133" s="46" t="s">
        <v>357</v>
      </c>
      <c r="E133" s="66" t="str">
        <f ca="1">IFERROR(VLOOKUP(U133,Images!$A:$C,3,FALSE),"")</f>
        <v/>
      </c>
      <c r="F133" s="65"/>
      <c r="G133" s="46" t="s">
        <v>358</v>
      </c>
      <c r="H133" s="64" t="str">
        <f>IFERROR(VLOOKUP(X133,Images!$A:$C,3,FALSE),X133)</f>
        <v>63 Currency</v>
      </c>
      <c r="I133" s="65"/>
      <c r="J133" s="43"/>
      <c r="K133" s="43"/>
      <c r="L133" s="43"/>
      <c r="M133" s="43"/>
      <c r="N133" s="43"/>
      <c r="O133" s="43"/>
      <c r="P133" s="43"/>
      <c r="Q133" s="43"/>
      <c r="R133" s="66" t="str">
        <f t="shared" si="7"/>
        <v>Flame</v>
      </c>
      <c r="S133" s="65"/>
      <c r="T133" s="46" t="s">
        <v>357</v>
      </c>
      <c r="U133" s="66" t="str">
        <f>Images!$A$4</f>
        <v>Water</v>
      </c>
      <c r="V133" s="65"/>
      <c r="W133" s="46" t="s">
        <v>358</v>
      </c>
      <c r="X133" s="70" t="str">
        <f t="array" ref="X133">IFERROR(INDEX('5.29 Recipe Matrix (Unsorted)'!$C$5:$P$18,MATCH(R133,'5.29 Recipe Matrix (Unsorted)'!$A$5:$A$18,0),MATCH(U133,'5.29 Recipe Matrix (Unsorted)'!$C$3:$P$3,0)),"")</f>
        <v>63 Currency</v>
      </c>
      <c r="Y133" s="65"/>
      <c r="Z133" s="43"/>
    </row>
    <row r="134" spans="1:26" ht="37.5" customHeight="1">
      <c r="A134" s="43"/>
      <c r="B134" s="66" t="str">
        <f ca="1">IFERROR(VLOOKUP(R134,Images!$A:$C,3,FALSE),R134)</f>
        <v>Flame</v>
      </c>
      <c r="C134" s="65"/>
      <c r="D134" s="46" t="s">
        <v>357</v>
      </c>
      <c r="E134" s="66" t="str">
        <f ca="1">IFERROR(VLOOKUP(U134,Images!$A:$C,3,FALSE),"")</f>
        <v/>
      </c>
      <c r="F134" s="65"/>
      <c r="G134" s="46" t="s">
        <v>358</v>
      </c>
      <c r="H134" s="64" t="str">
        <f>IFERROR(VLOOKUP(X134,Images!$A:$C,3,FALSE),X134)</f>
        <v>90 Currency</v>
      </c>
      <c r="I134" s="65"/>
      <c r="J134" s="43"/>
      <c r="K134" s="43"/>
      <c r="L134" s="43"/>
      <c r="M134" s="43"/>
      <c r="N134" s="43"/>
      <c r="O134" s="43"/>
      <c r="P134" s="43"/>
      <c r="Q134" s="43"/>
      <c r="R134" s="66" t="str">
        <f t="shared" si="7"/>
        <v>Flame</v>
      </c>
      <c r="S134" s="65"/>
      <c r="T134" s="46" t="s">
        <v>357</v>
      </c>
      <c r="U134" s="66" t="str">
        <f>Images!$A$5</f>
        <v>Lightning</v>
      </c>
      <c r="V134" s="65"/>
      <c r="W134" s="46" t="s">
        <v>358</v>
      </c>
      <c r="X134" s="70" t="str">
        <f t="array" ref="X134">IFERROR(INDEX('5.29 Recipe Matrix (Unsorted)'!$C$5:$P$18,MATCH(R134,'5.29 Recipe Matrix (Unsorted)'!$A$5:$A$18,0),MATCH(U134,'5.29 Recipe Matrix (Unsorted)'!$C$3:$P$3,0)),"")</f>
        <v>90 Currency</v>
      </c>
      <c r="Y134" s="65"/>
      <c r="Z134" s="43"/>
    </row>
    <row r="135" spans="1:26" ht="37.5" customHeight="1">
      <c r="A135" s="43"/>
      <c r="B135" s="66" t="str">
        <f ca="1">IFERROR(VLOOKUP(R135,Images!$A:$C,3,FALSE),R135)</f>
        <v>Flame</v>
      </c>
      <c r="C135" s="65"/>
      <c r="D135" s="46" t="s">
        <v>357</v>
      </c>
      <c r="E135" s="66" t="str">
        <f ca="1">IFERROR(VLOOKUP(U135,Images!$A:$C,3,FALSE),"")</f>
        <v/>
      </c>
      <c r="F135" s="65"/>
      <c r="G135" s="46" t="s">
        <v>358</v>
      </c>
      <c r="H135" s="64" t="str">
        <f ca="1">IFERROR(VLOOKUP(X135,Images!$A:$C,3,FALSE),X135)</f>
        <v/>
      </c>
      <c r="I135" s="65"/>
      <c r="J135" s="43"/>
      <c r="K135" s="43"/>
      <c r="L135" s="43"/>
      <c r="M135" s="43"/>
      <c r="N135" s="43"/>
      <c r="O135" s="43"/>
      <c r="P135" s="43"/>
      <c r="Q135" s="43"/>
      <c r="R135" s="66" t="str">
        <f t="shared" si="7"/>
        <v>Flame</v>
      </c>
      <c r="S135" s="65"/>
      <c r="T135" s="46" t="s">
        <v>357</v>
      </c>
      <c r="U135" s="66" t="str">
        <f>Images!$A$6</f>
        <v>Poison</v>
      </c>
      <c r="V135" s="65"/>
      <c r="W135" s="46" t="s">
        <v>358</v>
      </c>
      <c r="X135" s="70" t="str">
        <f t="array" aca="1" ref="X135" ca="1">IFERROR(INDEX('5.29 Recipe Matrix (Unsorted)'!$C$5:$P$18,MATCH(R135,'5.29 Recipe Matrix (Unsorted)'!$A$5:$A$18,0),MATCH(U135,'5.29 Recipe Matrix (Unsorted)'!$C$3:$P$3,0)),"")</f>
        <v/>
      </c>
      <c r="Y135" s="65"/>
      <c r="Z135" s="43"/>
    </row>
    <row r="136" spans="1:26" ht="37.5" customHeight="1">
      <c r="A136" s="43"/>
      <c r="B136" s="66" t="str">
        <f ca="1">IFERROR(VLOOKUP(R136,Images!$A:$C,3,FALSE),R136)</f>
        <v>Flame</v>
      </c>
      <c r="C136" s="65"/>
      <c r="D136" s="46" t="s">
        <v>357</v>
      </c>
      <c r="E136" s="66" t="str">
        <f ca="1">IFERROR(VLOOKUP(U136,Images!$A:$C,3,FALSE),"")</f>
        <v/>
      </c>
      <c r="F136" s="65"/>
      <c r="G136" s="46" t="s">
        <v>358</v>
      </c>
      <c r="H136" s="64" t="str">
        <f>IFERROR(VLOOKUP(X136,Images!$A:$C,3,FALSE),X136)</f>
        <v>97 Currency</v>
      </c>
      <c r="I136" s="65"/>
      <c r="J136" s="43"/>
      <c r="K136" s="43"/>
      <c r="L136" s="43"/>
      <c r="M136" s="43"/>
      <c r="N136" s="43"/>
      <c r="O136" s="43"/>
      <c r="P136" s="43"/>
      <c r="Q136" s="43"/>
      <c r="R136" s="66" t="str">
        <f t="shared" si="7"/>
        <v>Flame</v>
      </c>
      <c r="S136" s="65"/>
      <c r="T136" s="46" t="s">
        <v>357</v>
      </c>
      <c r="U136" s="66" t="str">
        <f>Images!$A$7</f>
        <v>Beetle</v>
      </c>
      <c r="V136" s="65"/>
      <c r="W136" s="46" t="s">
        <v>358</v>
      </c>
      <c r="X136" s="70" t="str">
        <f t="array" ref="X136">IFERROR(INDEX('5.29 Recipe Matrix (Unsorted)'!$C$5:$P$18,MATCH(R136,'5.29 Recipe Matrix (Unsorted)'!$A$5:$A$18,0),MATCH(U136,'5.29 Recipe Matrix (Unsorted)'!$C$3:$P$3,0)),"")</f>
        <v>97 Currency</v>
      </c>
      <c r="Y136" s="65"/>
      <c r="Z136" s="43"/>
    </row>
    <row r="137" spans="1:26" ht="37.5" customHeight="1">
      <c r="A137" s="43"/>
      <c r="B137" s="66" t="str">
        <f ca="1">IFERROR(VLOOKUP(R137,Images!$A:$C,3,FALSE),R137)</f>
        <v>Flame</v>
      </c>
      <c r="C137" s="65"/>
      <c r="D137" s="46" t="s">
        <v>357</v>
      </c>
      <c r="E137" s="66" t="str">
        <f ca="1">IFERROR(VLOOKUP(U137,Images!$A:$C,3,FALSE),"")</f>
        <v/>
      </c>
      <c r="F137" s="65"/>
      <c r="G137" s="46" t="s">
        <v>358</v>
      </c>
      <c r="H137" s="64" t="str">
        <f>IFERROR(VLOOKUP(X137,Images!$A:$C,3,FALSE),X137)</f>
        <v/>
      </c>
      <c r="I137" s="65"/>
      <c r="J137" s="43"/>
      <c r="K137" s="43"/>
      <c r="L137" s="43"/>
      <c r="M137" s="43"/>
      <c r="N137" s="43"/>
      <c r="O137" s="43"/>
      <c r="P137" s="43"/>
      <c r="Q137" s="43"/>
      <c r="R137" s="66" t="str">
        <f t="shared" si="7"/>
        <v>Flame</v>
      </c>
      <c r="S137" s="65"/>
      <c r="T137" s="46" t="s">
        <v>357</v>
      </c>
      <c r="U137" s="66" t="str">
        <f>Images!$A$8</f>
        <v>Tooth</v>
      </c>
      <c r="V137" s="65"/>
      <c r="W137" s="46" t="s">
        <v>358</v>
      </c>
      <c r="X137" s="70" t="str">
        <f t="array" ref="X137">IFERROR(INDEX('5.29 Recipe Matrix (Unsorted)'!$C$5:$P$18,MATCH(R137,'5.29 Recipe Matrix (Unsorted)'!$A$5:$A$18,0),MATCH(U137,'5.29 Recipe Matrix (Unsorted)'!$C$3:$P$3,0)),"")</f>
        <v/>
      </c>
      <c r="Y137" s="65"/>
      <c r="Z137" s="43"/>
    </row>
    <row r="138" spans="1:26" ht="37.5" customHeight="1">
      <c r="A138" s="43"/>
      <c r="B138" s="66" t="str">
        <f ca="1">IFERROR(VLOOKUP(R138,Images!$A:$C,3,FALSE),R138)</f>
        <v>Flame</v>
      </c>
      <c r="C138" s="65"/>
      <c r="D138" s="46" t="s">
        <v>357</v>
      </c>
      <c r="E138" s="66" t="str">
        <f ca="1">IFERROR(VLOOKUP(U138,Images!$A:$C,3,FALSE),"")</f>
        <v/>
      </c>
      <c r="F138" s="65"/>
      <c r="G138" s="46" t="s">
        <v>358</v>
      </c>
      <c r="H138" s="64" t="str">
        <f ca="1">IFERROR(VLOOKUP(X138,Images!$A:$C,3,FALSE),X138)</f>
        <v/>
      </c>
      <c r="I138" s="65"/>
      <c r="J138" s="43"/>
      <c r="K138" s="43"/>
      <c r="L138" s="43"/>
      <c r="M138" s="43"/>
      <c r="N138" s="43"/>
      <c r="O138" s="43"/>
      <c r="P138" s="43"/>
      <c r="Q138" s="43"/>
      <c r="R138" s="66" t="str">
        <f t="shared" si="7"/>
        <v>Flame</v>
      </c>
      <c r="S138" s="65"/>
      <c r="T138" s="46" t="s">
        <v>357</v>
      </c>
      <c r="U138" s="66" t="str">
        <f>Images!$A$9</f>
        <v>Flame</v>
      </c>
      <c r="V138" s="65"/>
      <c r="W138" s="46" t="s">
        <v>358</v>
      </c>
      <c r="X138" s="70" t="str">
        <f t="array" aca="1" ref="X138" ca="1">IFERROR(INDEX('5.29 Recipe Matrix (Unsorted)'!$C$5:$P$18,MATCH(R138,'5.29 Recipe Matrix (Unsorted)'!$A$5:$A$18,0),MATCH(U138,'5.29 Recipe Matrix (Unsorted)'!$C$3:$P$3,0)),"")</f>
        <v/>
      </c>
      <c r="Y138" s="65"/>
      <c r="Z138" s="43"/>
    </row>
    <row r="139" spans="1:26" ht="37.5" customHeight="1">
      <c r="A139" s="43"/>
      <c r="B139" s="66" t="str">
        <f ca="1">IFERROR(VLOOKUP(R139,Images!$A:$C,3,FALSE),R139)</f>
        <v>Flame</v>
      </c>
      <c r="C139" s="65"/>
      <c r="D139" s="46" t="s">
        <v>357</v>
      </c>
      <c r="E139" s="66" t="str">
        <f ca="1">IFERROR(VLOOKUP(U139,Images!$A:$C,3,FALSE),"")</f>
        <v/>
      </c>
      <c r="F139" s="65"/>
      <c r="G139" s="46" t="s">
        <v>358</v>
      </c>
      <c r="H139" s="64" t="str">
        <f>IFERROR(VLOOKUP(X139,Images!$A:$C,3,FALSE),X139)</f>
        <v>147 Currency</v>
      </c>
      <c r="I139" s="65"/>
      <c r="J139" s="43"/>
      <c r="K139" s="43"/>
      <c r="L139" s="43"/>
      <c r="M139" s="43"/>
      <c r="N139" s="43"/>
      <c r="O139" s="43"/>
      <c r="P139" s="43"/>
      <c r="Q139" s="43"/>
      <c r="R139" s="66" t="str">
        <f t="shared" si="7"/>
        <v>Flame</v>
      </c>
      <c r="S139" s="65"/>
      <c r="T139" s="46" t="s">
        <v>357</v>
      </c>
      <c r="U139" s="66" t="str">
        <f>Images!$A$10</f>
        <v>Steel</v>
      </c>
      <c r="V139" s="65"/>
      <c r="W139" s="46" t="s">
        <v>358</v>
      </c>
      <c r="X139" s="70" t="str">
        <f t="array" ref="X139">IFERROR(INDEX('5.29 Recipe Matrix (Unsorted)'!$C$5:$P$18,MATCH(R139,'5.29 Recipe Matrix (Unsorted)'!$A$5:$A$18,0),MATCH(U139,'5.29 Recipe Matrix (Unsorted)'!$C$3:$P$3,0)),"")</f>
        <v>147 Currency</v>
      </c>
      <c r="Y139" s="65"/>
      <c r="Z139" s="43"/>
    </row>
    <row r="140" spans="1:26" ht="37.5" customHeight="1">
      <c r="A140" s="43"/>
      <c r="B140" s="66" t="str">
        <f ca="1">IFERROR(VLOOKUP(R140,Images!$A:$C,3,FALSE),R140)</f>
        <v>Flame</v>
      </c>
      <c r="C140" s="65"/>
      <c r="D140" s="46" t="s">
        <v>357</v>
      </c>
      <c r="E140" s="66" t="str">
        <f ca="1">IFERROR(VLOOKUP(U140,Images!$A:$C,3,FALSE),"")</f>
        <v/>
      </c>
      <c r="F140" s="65"/>
      <c r="G140" s="46" t="s">
        <v>358</v>
      </c>
      <c r="H140" s="64" t="str">
        <f>IFERROR(VLOOKUP(X140,Images!$A:$C,3,FALSE),X140)</f>
        <v>596 Dust</v>
      </c>
      <c r="I140" s="65"/>
      <c r="J140" s="43"/>
      <c r="K140" s="43"/>
      <c r="L140" s="43"/>
      <c r="M140" s="43"/>
      <c r="N140" s="43"/>
      <c r="O140" s="43"/>
      <c r="P140" s="43"/>
      <c r="Q140" s="43"/>
      <c r="R140" s="66" t="str">
        <f t="shared" si="7"/>
        <v>Flame</v>
      </c>
      <c r="S140" s="65"/>
      <c r="T140" s="46" t="s">
        <v>357</v>
      </c>
      <c r="U140" s="66" t="str">
        <f>Images!$A$11</f>
        <v>Scale</v>
      </c>
      <c r="V140" s="65"/>
      <c r="W140" s="46" t="s">
        <v>358</v>
      </c>
      <c r="X140" s="70" t="str">
        <f t="array" ref="X140">IFERROR(INDEX('5.29 Recipe Matrix (Unsorted)'!$C$5:$P$18,MATCH(R140,'5.29 Recipe Matrix (Unsorted)'!$A$5:$A$18,0),MATCH(U140,'5.29 Recipe Matrix (Unsorted)'!$C$3:$P$3,0)),"")</f>
        <v>596 Dust</v>
      </c>
      <c r="Y140" s="65"/>
      <c r="Z140" s="43"/>
    </row>
    <row r="141" spans="1:26" ht="37.5" customHeight="1">
      <c r="A141" s="43"/>
      <c r="B141" s="66" t="str">
        <f ca="1">IFERROR(VLOOKUP(R141,Images!$A:$C,3,FALSE),R141)</f>
        <v>Flame</v>
      </c>
      <c r="C141" s="65"/>
      <c r="D141" s="46" t="s">
        <v>357</v>
      </c>
      <c r="E141" s="66" t="str">
        <f ca="1">IFERROR(VLOOKUP(U141,Images!$A:$C,3,FALSE),"")</f>
        <v/>
      </c>
      <c r="F141" s="65"/>
      <c r="G141" s="46" t="s">
        <v>358</v>
      </c>
      <c r="H141" s="64" t="str">
        <f>IFERROR(VLOOKUP(X141,Images!$A:$C,3,FALSE),X141)</f>
        <v>488 Dust</v>
      </c>
      <c r="I141" s="65"/>
      <c r="J141" s="43"/>
      <c r="K141" s="43"/>
      <c r="L141" s="43"/>
      <c r="M141" s="43"/>
      <c r="N141" s="43"/>
      <c r="O141" s="43"/>
      <c r="P141" s="43"/>
      <c r="Q141" s="43"/>
      <c r="R141" s="66" t="str">
        <f t="shared" si="7"/>
        <v>Flame</v>
      </c>
      <c r="S141" s="65"/>
      <c r="T141" s="46" t="s">
        <v>357</v>
      </c>
      <c r="U141" s="66" t="str">
        <f>Images!$A$12</f>
        <v>Essence</v>
      </c>
      <c r="V141" s="65"/>
      <c r="W141" s="46" t="s">
        <v>358</v>
      </c>
      <c r="X141" s="70" t="str">
        <f t="array" ref="X141">IFERROR(INDEX('5.29 Recipe Matrix (Unsorted)'!$C$5:$P$18,MATCH(R141,'5.29 Recipe Matrix (Unsorted)'!$A$5:$A$18,0),MATCH(U141,'5.29 Recipe Matrix (Unsorted)'!$C$3:$P$3,0)),"")</f>
        <v>488 Dust</v>
      </c>
      <c r="Y141" s="65"/>
      <c r="Z141" s="43"/>
    </row>
    <row r="142" spans="1:26" ht="37.5" customHeight="1">
      <c r="A142" s="43"/>
      <c r="B142" s="66" t="str">
        <f ca="1">IFERROR(VLOOKUP(R142,Images!$A:$C,3,FALSE),R142)</f>
        <v>Flame</v>
      </c>
      <c r="C142" s="65"/>
      <c r="D142" s="46" t="s">
        <v>357</v>
      </c>
      <c r="E142" s="66" t="str">
        <f ca="1">IFERROR(VLOOKUP(U142,Images!$A:$C,3,FALSE),"")</f>
        <v/>
      </c>
      <c r="F142" s="65"/>
      <c r="G142" s="46" t="s">
        <v>358</v>
      </c>
      <c r="H142" s="64" t="str">
        <f>IFERROR(VLOOKUP(X142,Images!$A:$C,3,FALSE),X142)</f>
        <v>116 Currency</v>
      </c>
      <c r="I142" s="65"/>
      <c r="J142" s="43"/>
      <c r="K142" s="43"/>
      <c r="L142" s="43"/>
      <c r="M142" s="43"/>
      <c r="N142" s="43"/>
      <c r="O142" s="43"/>
      <c r="P142" s="43"/>
      <c r="Q142" s="43"/>
      <c r="R142" s="66" t="str">
        <f t="shared" si="7"/>
        <v>Flame</v>
      </c>
      <c r="S142" s="65"/>
      <c r="T142" s="46" t="s">
        <v>357</v>
      </c>
      <c r="U142" s="66" t="str">
        <f>Images!$A$13</f>
        <v>Power</v>
      </c>
      <c r="V142" s="65"/>
      <c r="W142" s="46" t="s">
        <v>358</v>
      </c>
      <c r="X142" s="70" t="str">
        <f t="array" ref="X142">IFERROR(INDEX('5.29 Recipe Matrix (Unsorted)'!$C$5:$P$18,MATCH(R142,'5.29 Recipe Matrix (Unsorted)'!$A$5:$A$18,0),MATCH(U142,'5.29 Recipe Matrix (Unsorted)'!$C$3:$P$3,0)),"")</f>
        <v>116 Currency</v>
      </c>
      <c r="Y142" s="65"/>
      <c r="Z142" s="43"/>
    </row>
    <row r="143" spans="1:26" ht="37.5" customHeight="1">
      <c r="A143" s="43"/>
      <c r="B143" s="66" t="str">
        <f ca="1">IFERROR(VLOOKUP(R143,Images!$A:$C,3,FALSE),R143)</f>
        <v>Flame</v>
      </c>
      <c r="C143" s="65"/>
      <c r="D143" s="46" t="s">
        <v>357</v>
      </c>
      <c r="E143" s="66" t="str">
        <f ca="1">IFERROR(VLOOKUP(U143,Images!$A:$C,3,FALSE),"")</f>
        <v/>
      </c>
      <c r="F143" s="65"/>
      <c r="G143" s="46" t="s">
        <v>358</v>
      </c>
      <c r="H143" s="64" t="str">
        <f>IFERROR(VLOOKUP(X143,Images!$A:$C,3,FALSE),X143)</f>
        <v/>
      </c>
      <c r="I143" s="65"/>
      <c r="J143" s="43"/>
      <c r="K143" s="43"/>
      <c r="L143" s="43"/>
      <c r="M143" s="43"/>
      <c r="N143" s="43"/>
      <c r="O143" s="43"/>
      <c r="P143" s="43"/>
      <c r="Q143" s="43"/>
      <c r="R143" s="66" t="str">
        <f t="shared" si="7"/>
        <v>Flame</v>
      </c>
      <c r="S143" s="65"/>
      <c r="T143" s="46" t="s">
        <v>357</v>
      </c>
      <c r="U143" s="66" t="str">
        <f>Images!$A$14</f>
        <v>Shadow</v>
      </c>
      <c r="V143" s="65"/>
      <c r="W143" s="46" t="s">
        <v>358</v>
      </c>
      <c r="X143" s="70" t="str">
        <f t="array" ref="X143">IFERROR(INDEX('5.29 Recipe Matrix (Unsorted)'!$C$5:$P$18,MATCH(R143,'5.29 Recipe Matrix (Unsorted)'!$A$5:$A$18,0),MATCH(U143,'5.29 Recipe Matrix (Unsorted)'!$C$3:$P$3,0)),"")</f>
        <v/>
      </c>
      <c r="Y143" s="65"/>
      <c r="Z143" s="43"/>
    </row>
    <row r="144" spans="1:26" ht="37.5" customHeight="1">
      <c r="A144" s="43"/>
      <c r="B144" s="66" t="str">
        <f ca="1">IFERROR(VLOOKUP(R144,Images!$A:$C,3,FALSE),R144)</f>
        <v>Flame</v>
      </c>
      <c r="C144" s="65"/>
      <c r="D144" s="46" t="s">
        <v>357</v>
      </c>
      <c r="E144" s="66" t="str">
        <f ca="1">IFERROR(VLOOKUP(U144,Images!$A:$C,3,FALSE),"")</f>
        <v/>
      </c>
      <c r="F144" s="65"/>
      <c r="G144" s="46" t="s">
        <v>358</v>
      </c>
      <c r="H144" s="64" t="str">
        <f>IFERROR(VLOOKUP(X144,Images!$A:$C,3,FALSE),X144)</f>
        <v/>
      </c>
      <c r="I144" s="65"/>
      <c r="J144" s="43"/>
      <c r="K144" s="43"/>
      <c r="L144" s="43"/>
      <c r="M144" s="43"/>
      <c r="N144" s="43"/>
      <c r="O144" s="43"/>
      <c r="P144" s="43"/>
      <c r="Q144" s="43"/>
      <c r="R144" s="66" t="str">
        <f t="shared" si="7"/>
        <v>Flame</v>
      </c>
      <c r="S144" s="65"/>
      <c r="T144" s="46" t="s">
        <v>357</v>
      </c>
      <c r="U144" s="66" t="str">
        <f>Images!$A$15</f>
        <v>Spirit</v>
      </c>
      <c r="V144" s="65"/>
      <c r="W144" s="46" t="s">
        <v>358</v>
      </c>
      <c r="X144" s="70" t="str">
        <f t="array" ref="X144">IFERROR(INDEX('5.29 Recipe Matrix (Unsorted)'!$C$5:$P$18,MATCH(R144,'5.29 Recipe Matrix (Unsorted)'!$A$5:$A$18,0),MATCH(U144,'5.29 Recipe Matrix (Unsorted)'!$C$3:$P$3,0)),"")</f>
        <v/>
      </c>
      <c r="Y144" s="65"/>
      <c r="Z144" s="43"/>
    </row>
    <row r="145" spans="1:26" ht="37.5" customHeight="1">
      <c r="A145" s="43"/>
      <c r="B145" s="43"/>
      <c r="C145" s="43"/>
      <c r="D145" s="43"/>
      <c r="E145" s="43"/>
      <c r="F145" s="43"/>
      <c r="G145" s="43"/>
      <c r="H145" s="67" t="str">
        <f>HYPERLINK("https://docs.google.com/spreadsheets/d/1o95Ipwx6NIyFV3LCz9LGNbH9_WELHF-pbpkM31YwXyY/edit#gid=0&amp;range=A1","Back to Top")</f>
        <v>Back to Top</v>
      </c>
      <c r="I145" s="65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67" t="str">
        <f>HYPERLINK("https://docs.google.com/spreadsheets/d/1o95Ipwx6NIyFV3LCz9LGNbH9_WELHF-pbpkM31YwXyY/edit#gid=0&amp;range=A1","Back to Top")</f>
        <v>Back to Top</v>
      </c>
      <c r="Y145" s="65"/>
      <c r="Z145" s="43"/>
    </row>
    <row r="146" spans="1:26" ht="37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37.5" customHeight="1">
      <c r="A147" s="43"/>
      <c r="B147" s="68" t="str">
        <f>R147</f>
        <v>Steel Recipes</v>
      </c>
      <c r="C147" s="69"/>
      <c r="D147" s="69"/>
      <c r="E147" s="69"/>
      <c r="F147" s="69"/>
      <c r="G147" s="69"/>
      <c r="H147" s="69"/>
      <c r="I147" s="65"/>
      <c r="J147" s="43"/>
      <c r="K147" s="43"/>
      <c r="L147" s="43"/>
      <c r="M147" s="43"/>
      <c r="N147" s="43"/>
      <c r="O147" s="43"/>
      <c r="P147" s="43"/>
      <c r="Q147" s="43"/>
      <c r="R147" s="68" t="str">
        <f>R148 &amp; " Recipes"</f>
        <v>Steel Recipes</v>
      </c>
      <c r="S147" s="69"/>
      <c r="T147" s="69"/>
      <c r="U147" s="69"/>
      <c r="V147" s="69"/>
      <c r="W147" s="69"/>
      <c r="X147" s="69"/>
      <c r="Y147" s="65"/>
      <c r="Z147" s="43"/>
    </row>
    <row r="148" spans="1:26" ht="37.5" customHeight="1">
      <c r="A148" s="43"/>
      <c r="B148" s="66" t="str">
        <f ca="1">IFERROR(VLOOKUP(R148,Images!$A:$C,3,FALSE),R148)</f>
        <v>Steel</v>
      </c>
      <c r="C148" s="65"/>
      <c r="D148" s="46" t="s">
        <v>357</v>
      </c>
      <c r="E148" s="66" t="str">
        <f ca="1">IFERROR(VLOOKUP(U148,Images!$A:$C,3,FALSE),"")</f>
        <v/>
      </c>
      <c r="F148" s="65"/>
      <c r="G148" s="46" t="s">
        <v>358</v>
      </c>
      <c r="H148" s="64" t="str">
        <f>IFERROR(VLOOKUP(X148,Images!$A:$C,3,FALSE),X148)</f>
        <v>112 Currency</v>
      </c>
      <c r="I148" s="65"/>
      <c r="J148" s="43"/>
      <c r="K148" s="43"/>
      <c r="L148" s="43"/>
      <c r="M148" s="43"/>
      <c r="N148" s="43"/>
      <c r="O148" s="43"/>
      <c r="P148" s="43"/>
      <c r="Q148" s="43"/>
      <c r="R148" s="66" t="str">
        <f>Images!$A$10</f>
        <v>Steel</v>
      </c>
      <c r="S148" s="65"/>
      <c r="T148" s="46" t="s">
        <v>357</v>
      </c>
      <c r="U148" s="66" t="str">
        <f>Images!$A$2</f>
        <v>Leaf</v>
      </c>
      <c r="V148" s="65"/>
      <c r="W148" s="46" t="s">
        <v>358</v>
      </c>
      <c r="X148" s="70" t="str">
        <f t="array" ref="X148">IFERROR(INDEX('5.29 Recipe Matrix (Unsorted)'!$C$5:$P$18,MATCH(R148,'5.29 Recipe Matrix (Unsorted)'!$A$5:$A$18,0),MATCH(U148,'5.29 Recipe Matrix (Unsorted)'!$C$3:$P$3,0)),"")</f>
        <v>112 Currency</v>
      </c>
      <c r="Y148" s="65"/>
      <c r="Z148" s="43"/>
    </row>
    <row r="149" spans="1:26" ht="37.5" customHeight="1">
      <c r="A149" s="43"/>
      <c r="B149" s="66" t="str">
        <f ca="1">IFERROR(VLOOKUP(R149,Images!$A:$C,3,FALSE),R149)</f>
        <v>Steel</v>
      </c>
      <c r="C149" s="65"/>
      <c r="D149" s="46" t="s">
        <v>357</v>
      </c>
      <c r="E149" s="66" t="str">
        <f ca="1">IFERROR(VLOOKUP(U149,Images!$A:$C,3,FALSE),"")</f>
        <v/>
      </c>
      <c r="F149" s="65"/>
      <c r="G149" s="46" t="s">
        <v>358</v>
      </c>
      <c r="H149" s="64" t="str">
        <f>IFERROR(VLOOKUP(X149,Images!$A:$C,3,FALSE),X149)</f>
        <v/>
      </c>
      <c r="I149" s="65"/>
      <c r="J149" s="43"/>
      <c r="K149" s="43"/>
      <c r="L149" s="43"/>
      <c r="M149" s="43"/>
      <c r="N149" s="43"/>
      <c r="O149" s="43"/>
      <c r="P149" s="43"/>
      <c r="Q149" s="43"/>
      <c r="R149" s="66" t="str">
        <f t="shared" ref="R149:R161" si="8">R148</f>
        <v>Steel</v>
      </c>
      <c r="S149" s="65"/>
      <c r="T149" s="46" t="s">
        <v>357</v>
      </c>
      <c r="U149" s="66" t="str">
        <f>Images!$A$3</f>
        <v>Sand</v>
      </c>
      <c r="V149" s="65"/>
      <c r="W149" s="46" t="s">
        <v>358</v>
      </c>
      <c r="X149" s="70" t="str">
        <f t="array" ref="X149">IFERROR(INDEX('5.29 Recipe Matrix (Unsorted)'!$C$5:$P$18,MATCH(R149,'5.29 Recipe Matrix (Unsorted)'!$A$5:$A$18,0),MATCH(U149,'5.29 Recipe Matrix (Unsorted)'!$C$3:$P$3,0)),"")</f>
        <v/>
      </c>
      <c r="Y149" s="65"/>
      <c r="Z149" s="43"/>
    </row>
    <row r="150" spans="1:26" ht="37.5" customHeight="1">
      <c r="A150" s="43"/>
      <c r="B150" s="66" t="str">
        <f ca="1">IFERROR(VLOOKUP(R150,Images!$A:$C,3,FALSE),R150)</f>
        <v>Steel</v>
      </c>
      <c r="C150" s="65"/>
      <c r="D150" s="46" t="s">
        <v>357</v>
      </c>
      <c r="E150" s="66" t="str">
        <f ca="1">IFERROR(VLOOKUP(U150,Images!$A:$C,3,FALSE),"")</f>
        <v/>
      </c>
      <c r="F150" s="65"/>
      <c r="G150" s="46" t="s">
        <v>358</v>
      </c>
      <c r="H150" s="64" t="str">
        <f>IFERROR(VLOOKUP(X150,Images!$A:$C,3,FALSE),X150)</f>
        <v>Legendary Equipment (Cinder Grasper)</v>
      </c>
      <c r="I150" s="65"/>
      <c r="J150" s="43"/>
      <c r="K150" s="43"/>
      <c r="L150" s="43"/>
      <c r="M150" s="43"/>
      <c r="N150" s="43"/>
      <c r="O150" s="43"/>
      <c r="P150" s="43"/>
      <c r="Q150" s="43"/>
      <c r="R150" s="66" t="str">
        <f t="shared" si="8"/>
        <v>Steel</v>
      </c>
      <c r="S150" s="65"/>
      <c r="T150" s="46" t="s">
        <v>357</v>
      </c>
      <c r="U150" s="66" t="str">
        <f>Images!$A$4</f>
        <v>Water</v>
      </c>
      <c r="V150" s="65"/>
      <c r="W150" s="46" t="s">
        <v>358</v>
      </c>
      <c r="X150" s="70" t="str">
        <f t="array" ref="X150">IFERROR(INDEX('5.29 Recipe Matrix (Unsorted)'!$C$5:$P$18,MATCH(R150,'5.29 Recipe Matrix (Unsorted)'!$A$5:$A$18,0),MATCH(U150,'5.29 Recipe Matrix (Unsorted)'!$C$3:$P$3,0)),"")</f>
        <v>Legendary Equipment (Cinder Grasper)</v>
      </c>
      <c r="Y150" s="65"/>
      <c r="Z150" s="43"/>
    </row>
    <row r="151" spans="1:26" ht="37.5" customHeight="1">
      <c r="A151" s="43"/>
      <c r="B151" s="66" t="str">
        <f ca="1">IFERROR(VLOOKUP(R151,Images!$A:$C,3,FALSE),R151)</f>
        <v>Steel</v>
      </c>
      <c r="C151" s="65"/>
      <c r="D151" s="46" t="s">
        <v>357</v>
      </c>
      <c r="E151" s="66" t="str">
        <f ca="1">IFERROR(VLOOKUP(U151,Images!$A:$C,3,FALSE),"")</f>
        <v/>
      </c>
      <c r="F151" s="65"/>
      <c r="G151" s="46" t="s">
        <v>358</v>
      </c>
      <c r="H151" s="64" t="str">
        <f>IFERROR(VLOOKUP(X151,Images!$A:$C,3,FALSE),X151)</f>
        <v>8 Fortune Weapons</v>
      </c>
      <c r="I151" s="65"/>
      <c r="J151" s="43"/>
      <c r="K151" s="43"/>
      <c r="L151" s="43"/>
      <c r="M151" s="43"/>
      <c r="N151" s="43"/>
      <c r="O151" s="43"/>
      <c r="P151" s="43"/>
      <c r="Q151" s="43"/>
      <c r="R151" s="66" t="str">
        <f t="shared" si="8"/>
        <v>Steel</v>
      </c>
      <c r="S151" s="65"/>
      <c r="T151" s="46" t="s">
        <v>357</v>
      </c>
      <c r="U151" s="66" t="str">
        <f>Images!$A$5</f>
        <v>Lightning</v>
      </c>
      <c r="V151" s="65"/>
      <c r="W151" s="46" t="s">
        <v>358</v>
      </c>
      <c r="X151" s="70" t="str">
        <f t="array" ref="X151">IFERROR(INDEX('5.29 Recipe Matrix (Unsorted)'!$C$5:$P$18,MATCH(R151,'5.29 Recipe Matrix (Unsorted)'!$A$5:$A$18,0),MATCH(U151,'5.29 Recipe Matrix (Unsorted)'!$C$3:$P$3,0)),"")</f>
        <v>8 Fortune Weapons</v>
      </c>
      <c r="Y151" s="65"/>
      <c r="Z151" s="43"/>
    </row>
    <row r="152" spans="1:26" ht="37.5" customHeight="1">
      <c r="A152" s="43"/>
      <c r="B152" s="66" t="str">
        <f ca="1">IFERROR(VLOOKUP(R152,Images!$A:$C,3,FALSE),R152)</f>
        <v>Steel</v>
      </c>
      <c r="C152" s="65"/>
      <c r="D152" s="46" t="s">
        <v>357</v>
      </c>
      <c r="E152" s="66" t="str">
        <f ca="1">IFERROR(VLOOKUP(U152,Images!$A:$C,3,FALSE),"")</f>
        <v/>
      </c>
      <c r="F152" s="65"/>
      <c r="G152" s="46" t="s">
        <v>358</v>
      </c>
      <c r="H152" s="64" t="str">
        <f>IFERROR(VLOOKUP(X152,Images!$A:$C,3,FALSE),X152)</f>
        <v>128 Currency</v>
      </c>
      <c r="I152" s="65"/>
      <c r="J152" s="43"/>
      <c r="K152" s="43"/>
      <c r="L152" s="43"/>
      <c r="M152" s="43"/>
      <c r="N152" s="43"/>
      <c r="O152" s="43"/>
      <c r="P152" s="43"/>
      <c r="Q152" s="43"/>
      <c r="R152" s="66" t="str">
        <f t="shared" si="8"/>
        <v>Steel</v>
      </c>
      <c r="S152" s="65"/>
      <c r="T152" s="46" t="s">
        <v>357</v>
      </c>
      <c r="U152" s="66" t="str">
        <f>Images!$A$6</f>
        <v>Poison</v>
      </c>
      <c r="V152" s="65"/>
      <c r="W152" s="46" t="s">
        <v>358</v>
      </c>
      <c r="X152" s="70" t="str">
        <f t="array" ref="X152">IFERROR(INDEX('5.29 Recipe Matrix (Unsorted)'!$C$5:$P$18,MATCH(R152,'5.29 Recipe Matrix (Unsorted)'!$A$5:$A$18,0),MATCH(U152,'5.29 Recipe Matrix (Unsorted)'!$C$3:$P$3,0)),"")</f>
        <v>128 Currency</v>
      </c>
      <c r="Y152" s="65"/>
      <c r="Z152" s="43"/>
    </row>
    <row r="153" spans="1:26" ht="37.5" customHeight="1">
      <c r="A153" s="43"/>
      <c r="B153" s="66" t="str">
        <f ca="1">IFERROR(VLOOKUP(R153,Images!$A:$C,3,FALSE),R153)</f>
        <v>Steel</v>
      </c>
      <c r="C153" s="65"/>
      <c r="D153" s="46" t="s">
        <v>357</v>
      </c>
      <c r="E153" s="66" t="str">
        <f ca="1">IFERROR(VLOOKUP(U153,Images!$A:$C,3,FALSE),"")</f>
        <v/>
      </c>
      <c r="F153" s="65"/>
      <c r="G153" s="46" t="s">
        <v>358</v>
      </c>
      <c r="H153" s="64" t="str">
        <f>IFERROR(VLOOKUP(X153,Images!$A:$C,3,FALSE),X153)</f>
        <v>168 Currency</v>
      </c>
      <c r="I153" s="65"/>
      <c r="J153" s="43"/>
      <c r="K153" s="43"/>
      <c r="L153" s="43"/>
      <c r="M153" s="43"/>
      <c r="N153" s="43"/>
      <c r="O153" s="43"/>
      <c r="P153" s="43"/>
      <c r="Q153" s="43"/>
      <c r="R153" s="66" t="str">
        <f t="shared" si="8"/>
        <v>Steel</v>
      </c>
      <c r="S153" s="65"/>
      <c r="T153" s="46" t="s">
        <v>357</v>
      </c>
      <c r="U153" s="66" t="str">
        <f>Images!$A$7</f>
        <v>Beetle</v>
      </c>
      <c r="V153" s="65"/>
      <c r="W153" s="46" t="s">
        <v>358</v>
      </c>
      <c r="X153" s="70" t="str">
        <f t="array" ref="X153">IFERROR(INDEX('5.29 Recipe Matrix (Unsorted)'!$C$5:$P$18,MATCH(R153,'5.29 Recipe Matrix (Unsorted)'!$A$5:$A$18,0),MATCH(U153,'5.29 Recipe Matrix (Unsorted)'!$C$3:$P$3,0)),"")</f>
        <v>168 Currency</v>
      </c>
      <c r="Y153" s="65"/>
      <c r="Z153" s="43"/>
    </row>
    <row r="154" spans="1:26" ht="37.5" customHeight="1">
      <c r="A154" s="43"/>
      <c r="B154" s="66" t="str">
        <f ca="1">IFERROR(VLOOKUP(R154,Images!$A:$C,3,FALSE),R154)</f>
        <v>Steel</v>
      </c>
      <c r="C154" s="65"/>
      <c r="D154" s="46" t="s">
        <v>357</v>
      </c>
      <c r="E154" s="66" t="str">
        <f ca="1">IFERROR(VLOOKUP(U154,Images!$A:$C,3,FALSE),"")</f>
        <v/>
      </c>
      <c r="F154" s="65"/>
      <c r="G154" s="46" t="s">
        <v>358</v>
      </c>
      <c r="H154" s="64" t="str">
        <f>IFERROR(VLOOKUP(X154,Images!$A:$C,3,FALSE),X154)</f>
        <v/>
      </c>
      <c r="I154" s="65"/>
      <c r="J154" s="43"/>
      <c r="K154" s="43"/>
      <c r="L154" s="43"/>
      <c r="M154" s="43"/>
      <c r="N154" s="43"/>
      <c r="O154" s="43"/>
      <c r="P154" s="43"/>
      <c r="Q154" s="43"/>
      <c r="R154" s="66" t="str">
        <f t="shared" si="8"/>
        <v>Steel</v>
      </c>
      <c r="S154" s="65"/>
      <c r="T154" s="46" t="s">
        <v>357</v>
      </c>
      <c r="U154" s="66" t="str">
        <f>Images!$A$8</f>
        <v>Tooth</v>
      </c>
      <c r="V154" s="65"/>
      <c r="W154" s="46" t="s">
        <v>358</v>
      </c>
      <c r="X154" s="70" t="str">
        <f t="array" ref="X154">IFERROR(INDEX('5.29 Recipe Matrix (Unsorted)'!$C$5:$P$18,MATCH(R154,'5.29 Recipe Matrix (Unsorted)'!$A$5:$A$18,0),MATCH(U154,'5.29 Recipe Matrix (Unsorted)'!$C$3:$P$3,0)),"")</f>
        <v/>
      </c>
      <c r="Y154" s="65"/>
      <c r="Z154" s="43"/>
    </row>
    <row r="155" spans="1:26" ht="37.5" customHeight="1">
      <c r="A155" s="43"/>
      <c r="B155" s="66" t="str">
        <f ca="1">IFERROR(VLOOKUP(R155,Images!$A:$C,3,FALSE),R155)</f>
        <v>Steel</v>
      </c>
      <c r="C155" s="65"/>
      <c r="D155" s="46" t="s">
        <v>357</v>
      </c>
      <c r="E155" s="66" t="str">
        <f ca="1">IFERROR(VLOOKUP(U155,Images!$A:$C,3,FALSE),"")</f>
        <v/>
      </c>
      <c r="F155" s="65"/>
      <c r="G155" s="46" t="s">
        <v>358</v>
      </c>
      <c r="H155" s="64" t="str">
        <f>IFERROR(VLOOKUP(X155,Images!$A:$C,3,FALSE),X155)</f>
        <v>147 Currency</v>
      </c>
      <c r="I155" s="65"/>
      <c r="J155" s="43"/>
      <c r="K155" s="43"/>
      <c r="L155" s="43"/>
      <c r="M155" s="43"/>
      <c r="N155" s="43"/>
      <c r="O155" s="43"/>
      <c r="P155" s="43"/>
      <c r="Q155" s="43"/>
      <c r="R155" s="66" t="str">
        <f t="shared" si="8"/>
        <v>Steel</v>
      </c>
      <c r="S155" s="65"/>
      <c r="T155" s="46" t="s">
        <v>357</v>
      </c>
      <c r="U155" s="66" t="str">
        <f>Images!$A$9</f>
        <v>Flame</v>
      </c>
      <c r="V155" s="65"/>
      <c r="W155" s="46" t="s">
        <v>358</v>
      </c>
      <c r="X155" s="70" t="str">
        <f t="array" ref="X155">IFERROR(INDEX('5.29 Recipe Matrix (Unsorted)'!$C$5:$P$18,MATCH(R155,'5.29 Recipe Matrix (Unsorted)'!$A$5:$A$18,0),MATCH(U155,'5.29 Recipe Matrix (Unsorted)'!$C$3:$P$3,0)),"")</f>
        <v>147 Currency</v>
      </c>
      <c r="Y155" s="65"/>
      <c r="Z155" s="43"/>
    </row>
    <row r="156" spans="1:26" ht="37.5" customHeight="1">
      <c r="A156" s="43"/>
      <c r="B156" s="66" t="str">
        <f ca="1">IFERROR(VLOOKUP(R156,Images!$A:$C,3,FALSE),R156)</f>
        <v>Steel</v>
      </c>
      <c r="C156" s="65"/>
      <c r="D156" s="46" t="s">
        <v>357</v>
      </c>
      <c r="E156" s="66" t="str">
        <f ca="1">IFERROR(VLOOKUP(U156,Images!$A:$C,3,FALSE),"")</f>
        <v/>
      </c>
      <c r="F156" s="65"/>
      <c r="G156" s="46" t="s">
        <v>358</v>
      </c>
      <c r="H156" s="64" t="str">
        <f>IFERROR(VLOOKUP(X156,Images!$A:$C,3,FALSE),X156)</f>
        <v>218 Currency</v>
      </c>
      <c r="I156" s="65"/>
      <c r="J156" s="43"/>
      <c r="K156" s="43"/>
      <c r="L156" s="43"/>
      <c r="M156" s="43"/>
      <c r="N156" s="43"/>
      <c r="O156" s="43"/>
      <c r="P156" s="43"/>
      <c r="Q156" s="43"/>
      <c r="R156" s="66" t="str">
        <f t="shared" si="8"/>
        <v>Steel</v>
      </c>
      <c r="S156" s="65"/>
      <c r="T156" s="46" t="s">
        <v>357</v>
      </c>
      <c r="U156" s="66" t="str">
        <f>Images!$A$10</f>
        <v>Steel</v>
      </c>
      <c r="V156" s="65"/>
      <c r="W156" s="46" t="s">
        <v>358</v>
      </c>
      <c r="X156" s="70" t="str">
        <f t="array" ref="X156">IFERROR(INDEX('5.29 Recipe Matrix (Unsorted)'!$C$5:$P$18,MATCH(R156,'5.29 Recipe Matrix (Unsorted)'!$A$5:$A$18,0),MATCH(U156,'5.29 Recipe Matrix (Unsorted)'!$C$3:$P$3,0)),"")</f>
        <v>218 Currency</v>
      </c>
      <c r="Y156" s="65"/>
      <c r="Z156" s="43"/>
    </row>
    <row r="157" spans="1:26" ht="37.5" customHeight="1">
      <c r="A157" s="43"/>
      <c r="B157" s="66" t="str">
        <f ca="1">IFERROR(VLOOKUP(R157,Images!$A:$C,3,FALSE),R157)</f>
        <v>Steel</v>
      </c>
      <c r="C157" s="65"/>
      <c r="D157" s="46" t="s">
        <v>357</v>
      </c>
      <c r="E157" s="66" t="str">
        <f ca="1">IFERROR(VLOOKUP(U157,Images!$A:$C,3,FALSE),"")</f>
        <v/>
      </c>
      <c r="F157" s="65"/>
      <c r="G157" s="46" t="s">
        <v>358</v>
      </c>
      <c r="H157" s="64" t="str">
        <f>IFERROR(VLOOKUP(X157,Images!$A:$C,3,FALSE),X157)</f>
        <v>190 Currency</v>
      </c>
      <c r="I157" s="65"/>
      <c r="J157" s="43"/>
      <c r="K157" s="43"/>
      <c r="L157" s="43"/>
      <c r="M157" s="43"/>
      <c r="N157" s="43"/>
      <c r="O157" s="43"/>
      <c r="P157" s="43"/>
      <c r="Q157" s="43"/>
      <c r="R157" s="66" t="str">
        <f t="shared" si="8"/>
        <v>Steel</v>
      </c>
      <c r="S157" s="65"/>
      <c r="T157" s="46" t="s">
        <v>357</v>
      </c>
      <c r="U157" s="66" t="str">
        <f>Images!$A$11</f>
        <v>Scale</v>
      </c>
      <c r="V157" s="65"/>
      <c r="W157" s="46" t="s">
        <v>358</v>
      </c>
      <c r="X157" s="70" t="str">
        <f t="array" ref="X157">IFERROR(INDEX('5.29 Recipe Matrix (Unsorted)'!$C$5:$P$18,MATCH(R157,'5.29 Recipe Matrix (Unsorted)'!$A$5:$A$18,0),MATCH(U157,'5.29 Recipe Matrix (Unsorted)'!$C$3:$P$3,0)),"")</f>
        <v>190 Currency</v>
      </c>
      <c r="Y157" s="65"/>
      <c r="Z157" s="43"/>
    </row>
    <row r="158" spans="1:26" ht="37.5" customHeight="1">
      <c r="A158" s="43"/>
      <c r="B158" s="66" t="str">
        <f ca="1">IFERROR(VLOOKUP(R158,Images!$A:$C,3,FALSE),R158)</f>
        <v>Steel</v>
      </c>
      <c r="C158" s="65"/>
      <c r="D158" s="46" t="s">
        <v>357</v>
      </c>
      <c r="E158" s="66" t="str">
        <f ca="1">IFERROR(VLOOKUP(U158,Images!$A:$C,3,FALSE),"")</f>
        <v/>
      </c>
      <c r="F158" s="65"/>
      <c r="G158" s="46" t="s">
        <v>358</v>
      </c>
      <c r="H158" s="64" t="str">
        <f>IFERROR(VLOOKUP(X158,Images!$A:$C,3,FALSE),X158)</f>
        <v>168 Currency</v>
      </c>
      <c r="I158" s="65"/>
      <c r="J158" s="43"/>
      <c r="K158" s="43"/>
      <c r="L158" s="43"/>
      <c r="M158" s="43"/>
      <c r="N158" s="43"/>
      <c r="O158" s="43"/>
      <c r="P158" s="43"/>
      <c r="Q158" s="43"/>
      <c r="R158" s="66" t="str">
        <f t="shared" si="8"/>
        <v>Steel</v>
      </c>
      <c r="S158" s="65"/>
      <c r="T158" s="46" t="s">
        <v>357</v>
      </c>
      <c r="U158" s="66" t="str">
        <f>Images!$A$12</f>
        <v>Essence</v>
      </c>
      <c r="V158" s="65"/>
      <c r="W158" s="46" t="s">
        <v>358</v>
      </c>
      <c r="X158" s="70" t="str">
        <f t="array" ref="X158">IFERROR(INDEX('5.29 Recipe Matrix (Unsorted)'!$C$5:$P$18,MATCH(R158,'5.29 Recipe Matrix (Unsorted)'!$A$5:$A$18,0),MATCH(U158,'5.29 Recipe Matrix (Unsorted)'!$C$3:$P$3,0)),"")</f>
        <v>168 Currency</v>
      </c>
      <c r="Y158" s="65"/>
      <c r="Z158" s="43"/>
    </row>
    <row r="159" spans="1:26" ht="37.5" customHeight="1">
      <c r="A159" s="43"/>
      <c r="B159" s="66" t="str">
        <f ca="1">IFERROR(VLOOKUP(R159,Images!$A:$C,3,FALSE),R159)</f>
        <v>Steel</v>
      </c>
      <c r="C159" s="65"/>
      <c r="D159" s="46" t="s">
        <v>357</v>
      </c>
      <c r="E159" s="66" t="str">
        <f ca="1">IFERROR(VLOOKUP(U159,Images!$A:$C,3,FALSE),"")</f>
        <v/>
      </c>
      <c r="F159" s="65"/>
      <c r="G159" s="46" t="s">
        <v>358</v>
      </c>
      <c r="H159" s="64" t="str">
        <f>IFERROR(VLOOKUP(X159,Images!$A:$C,3,FALSE),X159)</f>
        <v>Legendary Equipment (Blackened Visor)</v>
      </c>
      <c r="I159" s="65"/>
      <c r="J159" s="43"/>
      <c r="K159" s="43"/>
      <c r="L159" s="43"/>
      <c r="M159" s="43"/>
      <c r="N159" s="43"/>
      <c r="O159" s="43"/>
      <c r="P159" s="43"/>
      <c r="Q159" s="43"/>
      <c r="R159" s="66" t="str">
        <f t="shared" si="8"/>
        <v>Steel</v>
      </c>
      <c r="S159" s="65"/>
      <c r="T159" s="46" t="s">
        <v>357</v>
      </c>
      <c r="U159" s="66" t="str">
        <f>Images!$A$13</f>
        <v>Power</v>
      </c>
      <c r="V159" s="65"/>
      <c r="W159" s="46" t="s">
        <v>358</v>
      </c>
      <c r="X159" s="70" t="str">
        <f t="array" ref="X159">IFERROR(INDEX('5.29 Recipe Matrix (Unsorted)'!$C$5:$P$18,MATCH(R159,'5.29 Recipe Matrix (Unsorted)'!$A$5:$A$18,0),MATCH(U159,'5.29 Recipe Matrix (Unsorted)'!$C$3:$P$3,0)),"")</f>
        <v>Legendary Equipment (Blackened Visor)</v>
      </c>
      <c r="Y159" s="65"/>
      <c r="Z159" s="43"/>
    </row>
    <row r="160" spans="1:26" ht="37.5" customHeight="1">
      <c r="A160" s="43"/>
      <c r="B160" s="66" t="str">
        <f ca="1">IFERROR(VLOOKUP(R160,Images!$A:$C,3,FALSE),R160)</f>
        <v>Steel</v>
      </c>
      <c r="C160" s="65"/>
      <c r="D160" s="46" t="s">
        <v>357</v>
      </c>
      <c r="E160" s="66" t="str">
        <f ca="1">IFERROR(VLOOKUP(U160,Images!$A:$C,3,FALSE),"")</f>
        <v/>
      </c>
      <c r="F160" s="65"/>
      <c r="G160" s="46" t="s">
        <v>358</v>
      </c>
      <c r="H160" s="64" t="str">
        <f>IFERROR(VLOOKUP(X160,Images!$A:$C,3,FALSE),X160)</f>
        <v/>
      </c>
      <c r="I160" s="65"/>
      <c r="J160" s="43"/>
      <c r="K160" s="43"/>
      <c r="L160" s="43"/>
      <c r="M160" s="43"/>
      <c r="N160" s="43"/>
      <c r="O160" s="43"/>
      <c r="P160" s="43"/>
      <c r="Q160" s="43"/>
      <c r="R160" s="66" t="str">
        <f t="shared" si="8"/>
        <v>Steel</v>
      </c>
      <c r="S160" s="65"/>
      <c r="T160" s="46" t="s">
        <v>357</v>
      </c>
      <c r="U160" s="66" t="str">
        <f>Images!$A$14</f>
        <v>Shadow</v>
      </c>
      <c r="V160" s="65"/>
      <c r="W160" s="46" t="s">
        <v>358</v>
      </c>
      <c r="X160" s="70" t="str">
        <f t="array" ref="X160">IFERROR(INDEX('5.29 Recipe Matrix (Unsorted)'!$C$5:$P$18,MATCH(R160,'5.29 Recipe Matrix (Unsorted)'!$A$5:$A$18,0),MATCH(U160,'5.29 Recipe Matrix (Unsorted)'!$C$3:$P$3,0)),"")</f>
        <v/>
      </c>
      <c r="Y160" s="65"/>
      <c r="Z160" s="43"/>
    </row>
    <row r="161" spans="1:26" ht="37.5" customHeight="1">
      <c r="A161" s="43"/>
      <c r="B161" s="66" t="str">
        <f ca="1">IFERROR(VLOOKUP(R161,Images!$A:$C,3,FALSE),R161)</f>
        <v>Steel</v>
      </c>
      <c r="C161" s="65"/>
      <c r="D161" s="46" t="s">
        <v>357</v>
      </c>
      <c r="E161" s="66" t="str">
        <f ca="1">IFERROR(VLOOKUP(U161,Images!$A:$C,3,FALSE),"")</f>
        <v/>
      </c>
      <c r="F161" s="65"/>
      <c r="G161" s="46" t="s">
        <v>358</v>
      </c>
      <c r="H161" s="64" t="str">
        <f>IFERROR(VLOOKUP(X161,Images!$A:$C,3,FALSE),X161)</f>
        <v/>
      </c>
      <c r="I161" s="65"/>
      <c r="J161" s="43"/>
      <c r="K161" s="43"/>
      <c r="L161" s="43"/>
      <c r="M161" s="43"/>
      <c r="N161" s="43"/>
      <c r="O161" s="43"/>
      <c r="P161" s="43"/>
      <c r="Q161" s="43"/>
      <c r="R161" s="66" t="str">
        <f t="shared" si="8"/>
        <v>Steel</v>
      </c>
      <c r="S161" s="65"/>
      <c r="T161" s="46" t="s">
        <v>357</v>
      </c>
      <c r="U161" s="66" t="str">
        <f>Images!$A$15</f>
        <v>Spirit</v>
      </c>
      <c r="V161" s="65"/>
      <c r="W161" s="46" t="s">
        <v>358</v>
      </c>
      <c r="X161" s="70" t="str">
        <f t="array" ref="X161">IFERROR(INDEX('5.29 Recipe Matrix (Unsorted)'!$C$5:$P$18,MATCH(R161,'5.29 Recipe Matrix (Unsorted)'!$A$5:$A$18,0),MATCH(U161,'5.29 Recipe Matrix (Unsorted)'!$C$3:$P$3,0)),"")</f>
        <v/>
      </c>
      <c r="Y161" s="65"/>
      <c r="Z161" s="43"/>
    </row>
    <row r="162" spans="1:26" ht="37.5" customHeight="1">
      <c r="A162" s="43"/>
      <c r="B162" s="71"/>
      <c r="C162" s="72"/>
      <c r="D162" s="43"/>
      <c r="E162" s="43"/>
      <c r="F162" s="43"/>
      <c r="G162" s="43"/>
      <c r="H162" s="67" t="str">
        <f>HYPERLINK("https://docs.google.com/spreadsheets/d/1o95Ipwx6NIyFV3LCz9LGNbH9_WELHF-pbpkM31YwXyY/edit#gid=0&amp;range=A1","Back to Top")</f>
        <v>Back to Top</v>
      </c>
      <c r="I162" s="65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67" t="str">
        <f>HYPERLINK("https://docs.google.com/spreadsheets/d/1o95Ipwx6NIyFV3LCz9LGNbH9_WELHF-pbpkM31YwXyY/edit#gid=0&amp;range=A1","Back to Top")</f>
        <v>Back to Top</v>
      </c>
      <c r="Y162" s="65"/>
      <c r="Z162" s="43"/>
    </row>
    <row r="163" spans="1:26" ht="37.5" customHeight="1">
      <c r="A163" s="43"/>
      <c r="B163" s="71"/>
      <c r="C163" s="7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37.5" customHeight="1">
      <c r="A164" s="43"/>
      <c r="B164" s="68" t="str">
        <f>R164</f>
        <v>Scale Recipes</v>
      </c>
      <c r="C164" s="69"/>
      <c r="D164" s="69"/>
      <c r="E164" s="69"/>
      <c r="F164" s="69"/>
      <c r="G164" s="69"/>
      <c r="H164" s="69"/>
      <c r="I164" s="65"/>
      <c r="J164" s="43"/>
      <c r="K164" s="43"/>
      <c r="L164" s="43"/>
      <c r="M164" s="43"/>
      <c r="N164" s="43"/>
      <c r="O164" s="43"/>
      <c r="P164" s="43"/>
      <c r="Q164" s="43"/>
      <c r="R164" s="68" t="str">
        <f>R165 &amp; " Recipes"</f>
        <v>Scale Recipes</v>
      </c>
      <c r="S164" s="69"/>
      <c r="T164" s="69"/>
      <c r="U164" s="69"/>
      <c r="V164" s="69"/>
      <c r="W164" s="69"/>
      <c r="X164" s="69"/>
      <c r="Y164" s="65"/>
      <c r="Z164" s="43"/>
    </row>
    <row r="165" spans="1:26" ht="37.5" customHeight="1">
      <c r="A165" s="43"/>
      <c r="B165" s="66" t="str">
        <f ca="1">IFERROR(VLOOKUP(R165,Images!$A:$C,3,FALSE),R165)</f>
        <v>Scale</v>
      </c>
      <c r="C165" s="65"/>
      <c r="D165" s="46" t="s">
        <v>357</v>
      </c>
      <c r="E165" s="66" t="str">
        <f ca="1">IFERROR(VLOOKUP(U165,Images!$A:$C,3,FALSE),"")</f>
        <v/>
      </c>
      <c r="F165" s="65"/>
      <c r="G165" s="46" t="s">
        <v>358</v>
      </c>
      <c r="H165" s="64" t="str">
        <f>IFERROR(VLOOKUP(X165,Images!$A:$C,3,FALSE),X165)</f>
        <v>8 Rare Equipment</v>
      </c>
      <c r="I165" s="65"/>
      <c r="J165" s="43"/>
      <c r="K165" s="43"/>
      <c r="L165" s="43"/>
      <c r="M165" s="43"/>
      <c r="N165" s="43"/>
      <c r="O165" s="43"/>
      <c r="P165" s="43"/>
      <c r="Q165" s="43"/>
      <c r="R165" s="66" t="str">
        <f>Images!$A$11</f>
        <v>Scale</v>
      </c>
      <c r="S165" s="65"/>
      <c r="T165" s="46" t="s">
        <v>357</v>
      </c>
      <c r="U165" s="66" t="str">
        <f>Images!$A$2</f>
        <v>Leaf</v>
      </c>
      <c r="V165" s="65"/>
      <c r="W165" s="46" t="s">
        <v>358</v>
      </c>
      <c r="X165" s="70" t="str">
        <f t="array" ref="X165">IFERROR(INDEX('5.29 Recipe Matrix (Unsorted)'!$C$5:$P$18,MATCH(R165,'5.29 Recipe Matrix (Unsorted)'!$A$5:$A$18,0),MATCH(U165,'5.29 Recipe Matrix (Unsorted)'!$C$3:$P$3,0)),"")</f>
        <v>8 Rare Equipment</v>
      </c>
      <c r="Y165" s="65"/>
      <c r="Z165" s="43"/>
    </row>
    <row r="166" spans="1:26" ht="37.5" customHeight="1">
      <c r="A166" s="43"/>
      <c r="B166" s="66" t="str">
        <f ca="1">IFERROR(VLOOKUP(R166,Images!$A:$C,3,FALSE),R166)</f>
        <v>Scale</v>
      </c>
      <c r="C166" s="65"/>
      <c r="D166" s="46" t="s">
        <v>357</v>
      </c>
      <c r="E166" s="66" t="str">
        <f ca="1">IFERROR(VLOOKUP(U166,Images!$A:$C,3,FALSE),"")</f>
        <v/>
      </c>
      <c r="F166" s="65"/>
      <c r="G166" s="46" t="s">
        <v>358</v>
      </c>
      <c r="H166" s="64" t="str">
        <f>IFERROR(VLOOKUP(X166,Images!$A:$C,3,FALSE),X166)</f>
        <v/>
      </c>
      <c r="I166" s="65"/>
      <c r="J166" s="43"/>
      <c r="K166" s="43"/>
      <c r="L166" s="43"/>
      <c r="M166" s="43"/>
      <c r="N166" s="43"/>
      <c r="O166" s="43"/>
      <c r="P166" s="43"/>
      <c r="Q166" s="43"/>
      <c r="R166" s="66" t="str">
        <f t="shared" ref="R166:R178" si="9">R165</f>
        <v>Scale</v>
      </c>
      <c r="S166" s="65"/>
      <c r="T166" s="46" t="s">
        <v>357</v>
      </c>
      <c r="U166" s="66" t="str">
        <f>Images!$A$3</f>
        <v>Sand</v>
      </c>
      <c r="V166" s="65"/>
      <c r="W166" s="46" t="s">
        <v>358</v>
      </c>
      <c r="X166" s="70" t="str">
        <f t="array" ref="X166">IFERROR(INDEX('5.29 Recipe Matrix (Unsorted)'!$C$5:$P$18,MATCH(R166,'5.29 Recipe Matrix (Unsorted)'!$A$5:$A$18,0),MATCH(U166,'5.29 Recipe Matrix (Unsorted)'!$C$3:$P$3,0)),"")</f>
        <v/>
      </c>
      <c r="Y166" s="65"/>
      <c r="Z166" s="43"/>
    </row>
    <row r="167" spans="1:26" ht="37.5" customHeight="1">
      <c r="A167" s="43"/>
      <c r="B167" s="66" t="str">
        <f ca="1">IFERROR(VLOOKUP(R167,Images!$A:$C,3,FALSE),R167)</f>
        <v>Scale</v>
      </c>
      <c r="C167" s="65"/>
      <c r="D167" s="46" t="s">
        <v>357</v>
      </c>
      <c r="E167" s="66" t="str">
        <f ca="1">IFERROR(VLOOKUP(U167,Images!$A:$C,3,FALSE),"")</f>
        <v/>
      </c>
      <c r="F167" s="65"/>
      <c r="G167" s="46" t="s">
        <v>358</v>
      </c>
      <c r="H167" s="64" t="str">
        <f>IFERROR(VLOOKUP(X167,Images!$A:$C,3,FALSE),X167)</f>
        <v>530 Dust</v>
      </c>
      <c r="I167" s="65"/>
      <c r="J167" s="43"/>
      <c r="K167" s="43"/>
      <c r="L167" s="43"/>
      <c r="M167" s="43"/>
      <c r="N167" s="43"/>
      <c r="O167" s="43"/>
      <c r="P167" s="43"/>
      <c r="Q167" s="43"/>
      <c r="R167" s="66" t="str">
        <f t="shared" si="9"/>
        <v>Scale</v>
      </c>
      <c r="S167" s="65"/>
      <c r="T167" s="46" t="s">
        <v>357</v>
      </c>
      <c r="U167" s="66" t="str">
        <f>Images!$A$4</f>
        <v>Water</v>
      </c>
      <c r="V167" s="65"/>
      <c r="W167" s="46" t="s">
        <v>358</v>
      </c>
      <c r="X167" s="70" t="str">
        <f t="array" ref="X167">IFERROR(INDEX('5.29 Recipe Matrix (Unsorted)'!$C$5:$P$18,MATCH(R167,'5.29 Recipe Matrix (Unsorted)'!$A$5:$A$18,0),MATCH(U167,'5.29 Recipe Matrix (Unsorted)'!$C$3:$P$3,0)),"")</f>
        <v>530 Dust</v>
      </c>
      <c r="Y167" s="65"/>
      <c r="Z167" s="43"/>
    </row>
    <row r="168" spans="1:26" ht="37.5" customHeight="1">
      <c r="A168" s="43"/>
      <c r="B168" s="66" t="str">
        <f ca="1">IFERROR(VLOOKUP(R168,Images!$A:$C,3,FALSE),R168)</f>
        <v>Scale</v>
      </c>
      <c r="C168" s="65"/>
      <c r="D168" s="46" t="s">
        <v>357</v>
      </c>
      <c r="E168" s="66" t="str">
        <f ca="1">IFERROR(VLOOKUP(U168,Images!$A:$C,3,FALSE),"")</f>
        <v/>
      </c>
      <c r="F168" s="65"/>
      <c r="G168" s="46" t="s">
        <v>358</v>
      </c>
      <c r="H168" s="64" t="str">
        <f>IFERROR(VLOOKUP(X168,Images!$A:$C,3,FALSE),X168)</f>
        <v>133 Currency</v>
      </c>
      <c r="I168" s="65"/>
      <c r="J168" s="43"/>
      <c r="K168" s="43"/>
      <c r="L168" s="43"/>
      <c r="M168" s="43"/>
      <c r="N168" s="43"/>
      <c r="O168" s="43"/>
      <c r="P168" s="43"/>
      <c r="Q168" s="43"/>
      <c r="R168" s="66" t="str">
        <f t="shared" si="9"/>
        <v>Scale</v>
      </c>
      <c r="S168" s="65"/>
      <c r="T168" s="46" t="s">
        <v>357</v>
      </c>
      <c r="U168" s="66" t="str">
        <f>Images!$A$5</f>
        <v>Lightning</v>
      </c>
      <c r="V168" s="65"/>
      <c r="W168" s="46" t="s">
        <v>358</v>
      </c>
      <c r="X168" s="70" t="str">
        <f t="array" ref="X168">IFERROR(INDEX('5.29 Recipe Matrix (Unsorted)'!$C$5:$P$18,MATCH(R168,'5.29 Recipe Matrix (Unsorted)'!$A$5:$A$18,0),MATCH(U168,'5.29 Recipe Matrix (Unsorted)'!$C$3:$P$3,0)),"")</f>
        <v>133 Currency</v>
      </c>
      <c r="Y168" s="65"/>
      <c r="Z168" s="43"/>
    </row>
    <row r="169" spans="1:26" ht="37.5" customHeight="1">
      <c r="A169" s="43"/>
      <c r="B169" s="66" t="str">
        <f ca="1">IFERROR(VLOOKUP(R169,Images!$A:$C,3,FALSE),R169)</f>
        <v>Scale</v>
      </c>
      <c r="C169" s="65"/>
      <c r="D169" s="46" t="s">
        <v>357</v>
      </c>
      <c r="E169" s="66" t="str">
        <f ca="1">IFERROR(VLOOKUP(U169,Images!$A:$C,3,FALSE),"")</f>
        <v/>
      </c>
      <c r="F169" s="65"/>
      <c r="G169" s="46" t="s">
        <v>358</v>
      </c>
      <c r="H169" s="64" t="str">
        <f>IFERROR(VLOOKUP(X169,Images!$A:$C,3,FALSE),X169)</f>
        <v>499 Dust</v>
      </c>
      <c r="I169" s="65"/>
      <c r="J169" s="43"/>
      <c r="K169" s="43"/>
      <c r="L169" s="43"/>
      <c r="M169" s="43"/>
      <c r="N169" s="43"/>
      <c r="O169" s="43"/>
      <c r="P169" s="43"/>
      <c r="Q169" s="43"/>
      <c r="R169" s="66" t="str">
        <f t="shared" si="9"/>
        <v>Scale</v>
      </c>
      <c r="S169" s="65"/>
      <c r="T169" s="46" t="s">
        <v>357</v>
      </c>
      <c r="U169" s="66" t="str">
        <f>Images!$A$6</f>
        <v>Poison</v>
      </c>
      <c r="V169" s="65"/>
      <c r="W169" s="46" t="s">
        <v>358</v>
      </c>
      <c r="X169" s="70" t="str">
        <f t="array" ref="X169">IFERROR(INDEX('5.29 Recipe Matrix (Unsorted)'!$C$5:$P$18,MATCH(R169,'5.29 Recipe Matrix (Unsorted)'!$A$5:$A$18,0),MATCH(U169,'5.29 Recipe Matrix (Unsorted)'!$C$3:$P$3,0)),"")</f>
        <v>499 Dust</v>
      </c>
      <c r="Y169" s="65"/>
      <c r="Z169" s="43"/>
    </row>
    <row r="170" spans="1:26" ht="37.5" customHeight="1">
      <c r="A170" s="43"/>
      <c r="B170" s="66" t="str">
        <f ca="1">IFERROR(VLOOKUP(R170,Images!$A:$C,3,FALSE),R170)</f>
        <v>Scale</v>
      </c>
      <c r="C170" s="65"/>
      <c r="D170" s="46" t="s">
        <v>357</v>
      </c>
      <c r="E170" s="66" t="str">
        <f ca="1">IFERROR(VLOOKUP(U170,Images!$A:$C,3,FALSE),"")</f>
        <v/>
      </c>
      <c r="F170" s="65"/>
      <c r="G170" s="46" t="s">
        <v>358</v>
      </c>
      <c r="H170" s="64" t="str">
        <f>IFERROR(VLOOKUP(X170,Images!$A:$C,3,FALSE),X170)</f>
        <v>702 Dust</v>
      </c>
      <c r="I170" s="65"/>
      <c r="J170" s="43"/>
      <c r="K170" s="43"/>
      <c r="L170" s="43"/>
      <c r="M170" s="43"/>
      <c r="N170" s="43"/>
      <c r="O170" s="43"/>
      <c r="P170" s="43"/>
      <c r="Q170" s="43"/>
      <c r="R170" s="66" t="str">
        <f t="shared" si="9"/>
        <v>Scale</v>
      </c>
      <c r="S170" s="65"/>
      <c r="T170" s="46" t="s">
        <v>357</v>
      </c>
      <c r="U170" s="66" t="str">
        <f>Images!$A$7</f>
        <v>Beetle</v>
      </c>
      <c r="V170" s="65"/>
      <c r="W170" s="46" t="s">
        <v>358</v>
      </c>
      <c r="X170" s="70" t="str">
        <f t="array" ref="X170">IFERROR(INDEX('5.29 Recipe Matrix (Unsorted)'!$C$5:$P$18,MATCH(R170,'5.29 Recipe Matrix (Unsorted)'!$A$5:$A$18,0),MATCH(U170,'5.29 Recipe Matrix (Unsorted)'!$C$3:$P$3,0)),"")</f>
        <v>702 Dust</v>
      </c>
      <c r="Y170" s="65"/>
      <c r="Z170" s="43"/>
    </row>
    <row r="171" spans="1:26" ht="37.5" customHeight="1">
      <c r="A171" s="43"/>
      <c r="B171" s="66" t="str">
        <f ca="1">IFERROR(VLOOKUP(R171,Images!$A:$C,3,FALSE),R171)</f>
        <v>Scale</v>
      </c>
      <c r="C171" s="65"/>
      <c r="D171" s="46" t="s">
        <v>357</v>
      </c>
      <c r="E171" s="66" t="str">
        <f ca="1">IFERROR(VLOOKUP(U171,Images!$A:$C,3,FALSE),"")</f>
        <v/>
      </c>
      <c r="F171" s="65"/>
      <c r="G171" s="46" t="s">
        <v>358</v>
      </c>
      <c r="H171" s="64" t="str">
        <f>IFERROR(VLOOKUP(X171,Images!$A:$C,3,FALSE),X171)</f>
        <v/>
      </c>
      <c r="I171" s="65"/>
      <c r="J171" s="43"/>
      <c r="K171" s="43"/>
      <c r="L171" s="43"/>
      <c r="M171" s="43"/>
      <c r="N171" s="43"/>
      <c r="O171" s="43"/>
      <c r="P171" s="43"/>
      <c r="Q171" s="43"/>
      <c r="R171" s="66" t="str">
        <f t="shared" si="9"/>
        <v>Scale</v>
      </c>
      <c r="S171" s="65"/>
      <c r="T171" s="46" t="s">
        <v>357</v>
      </c>
      <c r="U171" s="66" t="str">
        <f>Images!$A$8</f>
        <v>Tooth</v>
      </c>
      <c r="V171" s="65"/>
      <c r="W171" s="46" t="s">
        <v>358</v>
      </c>
      <c r="X171" s="70" t="str">
        <f t="array" ref="X171">IFERROR(INDEX('5.29 Recipe Matrix (Unsorted)'!$C$5:$P$18,MATCH(R171,'5.29 Recipe Matrix (Unsorted)'!$A$5:$A$18,0),MATCH(U171,'5.29 Recipe Matrix (Unsorted)'!$C$3:$P$3,0)),"")</f>
        <v/>
      </c>
      <c r="Y171" s="65"/>
      <c r="Z171" s="43"/>
    </row>
    <row r="172" spans="1:26" ht="37.5" customHeight="1">
      <c r="A172" s="43"/>
      <c r="B172" s="66" t="str">
        <f ca="1">IFERROR(VLOOKUP(R172,Images!$A:$C,3,FALSE),R172)</f>
        <v>Scale</v>
      </c>
      <c r="C172" s="65"/>
      <c r="D172" s="46" t="s">
        <v>357</v>
      </c>
      <c r="E172" s="66" t="str">
        <f ca="1">IFERROR(VLOOKUP(U172,Images!$A:$C,3,FALSE),"")</f>
        <v/>
      </c>
      <c r="F172" s="65"/>
      <c r="G172" s="46" t="s">
        <v>358</v>
      </c>
      <c r="H172" s="64" t="str">
        <f>IFERROR(VLOOKUP(X172,Images!$A:$C,3,FALSE),X172)</f>
        <v>596 Dust</v>
      </c>
      <c r="I172" s="65"/>
      <c r="J172" s="43"/>
      <c r="K172" s="43"/>
      <c r="L172" s="43"/>
      <c r="M172" s="43"/>
      <c r="N172" s="43"/>
      <c r="O172" s="43"/>
      <c r="P172" s="43"/>
      <c r="Q172" s="43"/>
      <c r="R172" s="66" t="str">
        <f t="shared" si="9"/>
        <v>Scale</v>
      </c>
      <c r="S172" s="65"/>
      <c r="T172" s="46" t="s">
        <v>357</v>
      </c>
      <c r="U172" s="66" t="str">
        <f>Images!$A$9</f>
        <v>Flame</v>
      </c>
      <c r="V172" s="65"/>
      <c r="W172" s="46" t="s">
        <v>358</v>
      </c>
      <c r="X172" s="70" t="str">
        <f t="array" ref="X172">IFERROR(INDEX('5.29 Recipe Matrix (Unsorted)'!$C$5:$P$18,MATCH(R172,'5.29 Recipe Matrix (Unsorted)'!$A$5:$A$18,0),MATCH(U172,'5.29 Recipe Matrix (Unsorted)'!$C$3:$P$3,0)),"")</f>
        <v>596 Dust</v>
      </c>
      <c r="Y172" s="65"/>
      <c r="Z172" s="43"/>
    </row>
    <row r="173" spans="1:26" ht="37.5" customHeight="1">
      <c r="A173" s="43"/>
      <c r="B173" s="66" t="str">
        <f ca="1">IFERROR(VLOOKUP(R173,Images!$A:$C,3,FALSE),R173)</f>
        <v>Scale</v>
      </c>
      <c r="C173" s="65"/>
      <c r="D173" s="46" t="s">
        <v>357</v>
      </c>
      <c r="E173" s="66" t="str">
        <f ca="1">IFERROR(VLOOKUP(U173,Images!$A:$C,3,FALSE),"")</f>
        <v/>
      </c>
      <c r="F173" s="65"/>
      <c r="G173" s="46" t="s">
        <v>358</v>
      </c>
      <c r="H173" s="64" t="str">
        <f>IFERROR(VLOOKUP(X173,Images!$A:$C,3,FALSE),X173)</f>
        <v>190 Currency</v>
      </c>
      <c r="I173" s="65"/>
      <c r="J173" s="43"/>
      <c r="K173" s="43"/>
      <c r="L173" s="43"/>
      <c r="M173" s="43"/>
      <c r="N173" s="43"/>
      <c r="O173" s="43"/>
      <c r="P173" s="43"/>
      <c r="Q173" s="43"/>
      <c r="R173" s="66" t="str">
        <f t="shared" si="9"/>
        <v>Scale</v>
      </c>
      <c r="S173" s="65"/>
      <c r="T173" s="46" t="s">
        <v>357</v>
      </c>
      <c r="U173" s="66" t="str">
        <f>Images!$A$10</f>
        <v>Steel</v>
      </c>
      <c r="V173" s="65"/>
      <c r="W173" s="46" t="s">
        <v>358</v>
      </c>
      <c r="X173" s="70" t="str">
        <f t="array" ref="X173">IFERROR(INDEX('5.29 Recipe Matrix (Unsorted)'!$C$5:$P$18,MATCH(R173,'5.29 Recipe Matrix (Unsorted)'!$A$5:$A$18,0),MATCH(U173,'5.29 Recipe Matrix (Unsorted)'!$C$3:$P$3,0)),"")</f>
        <v>190 Currency</v>
      </c>
      <c r="Y173" s="65"/>
      <c r="Z173" s="43"/>
    </row>
    <row r="174" spans="1:26" ht="37.5" customHeight="1">
      <c r="A174" s="43"/>
      <c r="B174" s="66" t="str">
        <f ca="1">IFERROR(VLOOKUP(R174,Images!$A:$C,3,FALSE),R174)</f>
        <v>Scale</v>
      </c>
      <c r="C174" s="65"/>
      <c r="D174" s="46" t="s">
        <v>357</v>
      </c>
      <c r="E174" s="66" t="str">
        <f ca="1">IFERROR(VLOOKUP(U174,Images!$A:$C,3,FALSE),"")</f>
        <v/>
      </c>
      <c r="F174" s="65"/>
      <c r="G174" s="46" t="s">
        <v>358</v>
      </c>
      <c r="H174" s="64" t="str">
        <f>IFERROR(VLOOKUP(X174,Images!$A:$C,3,FALSE),X174)</f>
        <v>162 Currency</v>
      </c>
      <c r="I174" s="65"/>
      <c r="J174" s="43"/>
      <c r="K174" s="43"/>
      <c r="L174" s="43"/>
      <c r="M174" s="43"/>
      <c r="N174" s="43"/>
      <c r="O174" s="43"/>
      <c r="P174" s="43"/>
      <c r="Q174" s="43"/>
      <c r="R174" s="66" t="str">
        <f t="shared" si="9"/>
        <v>Scale</v>
      </c>
      <c r="S174" s="65"/>
      <c r="T174" s="46" t="s">
        <v>357</v>
      </c>
      <c r="U174" s="66" t="str">
        <f>Images!$A$11</f>
        <v>Scale</v>
      </c>
      <c r="V174" s="65"/>
      <c r="W174" s="46" t="s">
        <v>358</v>
      </c>
      <c r="X174" s="70" t="str">
        <f t="array" ref="X174">IFERROR(INDEX('5.29 Recipe Matrix (Unsorted)'!$C$5:$P$18,MATCH(R174,'5.29 Recipe Matrix (Unsorted)'!$A$5:$A$18,0),MATCH(U174,'5.29 Recipe Matrix (Unsorted)'!$C$3:$P$3,0)),"")</f>
        <v>162 Currency</v>
      </c>
      <c r="Y174" s="65"/>
      <c r="Z174" s="43"/>
    </row>
    <row r="175" spans="1:26" ht="37.5" customHeight="1">
      <c r="A175" s="43"/>
      <c r="B175" s="66" t="str">
        <f ca="1">IFERROR(VLOOKUP(R175,Images!$A:$C,3,FALSE),R175)</f>
        <v>Scale</v>
      </c>
      <c r="C175" s="65"/>
      <c r="D175" s="46" t="s">
        <v>357</v>
      </c>
      <c r="E175" s="66" t="str">
        <f ca="1">IFERROR(VLOOKUP(U175,Images!$A:$C,3,FALSE),"")</f>
        <v/>
      </c>
      <c r="F175" s="65"/>
      <c r="G175" s="46" t="s">
        <v>358</v>
      </c>
      <c r="H175" s="64" t="str">
        <f>IFERROR(VLOOKUP(X175,Images!$A:$C,3,FALSE),X175)</f>
        <v>702 Dust</v>
      </c>
      <c r="I175" s="65"/>
      <c r="J175" s="43"/>
      <c r="K175" s="43"/>
      <c r="L175" s="43"/>
      <c r="M175" s="43"/>
      <c r="N175" s="43"/>
      <c r="O175" s="43"/>
      <c r="P175" s="43"/>
      <c r="Q175" s="43"/>
      <c r="R175" s="66" t="str">
        <f t="shared" si="9"/>
        <v>Scale</v>
      </c>
      <c r="S175" s="65"/>
      <c r="T175" s="46" t="s">
        <v>357</v>
      </c>
      <c r="U175" s="66" t="str">
        <f>Images!$A$12</f>
        <v>Essence</v>
      </c>
      <c r="V175" s="65"/>
      <c r="W175" s="46" t="s">
        <v>358</v>
      </c>
      <c r="X175" s="70" t="str">
        <f t="array" ref="X175">IFERROR(INDEX('5.29 Recipe Matrix (Unsorted)'!$C$5:$P$18,MATCH(R175,'5.29 Recipe Matrix (Unsorted)'!$A$5:$A$18,0),MATCH(U175,'5.29 Recipe Matrix (Unsorted)'!$C$3:$P$3,0)),"")</f>
        <v>702 Dust</v>
      </c>
      <c r="Y175" s="65"/>
      <c r="Z175" s="43"/>
    </row>
    <row r="176" spans="1:26" ht="37.5" customHeight="1">
      <c r="A176" s="43"/>
      <c r="B176" s="66" t="str">
        <f ca="1">IFERROR(VLOOKUP(R176,Images!$A:$C,3,FALSE),R176)</f>
        <v>Scale</v>
      </c>
      <c r="C176" s="65"/>
      <c r="D176" s="46" t="s">
        <v>357</v>
      </c>
      <c r="E176" s="66" t="str">
        <f ca="1">IFERROR(VLOOKUP(U176,Images!$A:$C,3,FALSE),"")</f>
        <v/>
      </c>
      <c r="F176" s="65"/>
      <c r="G176" s="46" t="s">
        <v>358</v>
      </c>
      <c r="H176" s="64" t="str">
        <f>IFERROR(VLOOKUP(X176,Images!$A:$C,3,FALSE),X176)</f>
        <v>159 Currency</v>
      </c>
      <c r="I176" s="65"/>
      <c r="J176" s="43"/>
      <c r="K176" s="43"/>
      <c r="L176" s="43"/>
      <c r="M176" s="43"/>
      <c r="N176" s="43"/>
      <c r="O176" s="43"/>
      <c r="P176" s="43"/>
      <c r="Q176" s="43"/>
      <c r="R176" s="66" t="str">
        <f t="shared" si="9"/>
        <v>Scale</v>
      </c>
      <c r="S176" s="65"/>
      <c r="T176" s="46" t="s">
        <v>357</v>
      </c>
      <c r="U176" s="66" t="str">
        <f>Images!$A$13</f>
        <v>Power</v>
      </c>
      <c r="V176" s="65"/>
      <c r="W176" s="46" t="s">
        <v>358</v>
      </c>
      <c r="X176" s="70" t="str">
        <f t="array" ref="X176">IFERROR(INDEX('5.29 Recipe Matrix (Unsorted)'!$C$5:$P$18,MATCH(R176,'5.29 Recipe Matrix (Unsorted)'!$A$5:$A$18,0),MATCH(U176,'5.29 Recipe Matrix (Unsorted)'!$C$3:$P$3,0)),"")</f>
        <v>159 Currency</v>
      </c>
      <c r="Y176" s="65"/>
      <c r="Z176" s="43"/>
    </row>
    <row r="177" spans="1:26" ht="37.5" customHeight="1">
      <c r="A177" s="43"/>
      <c r="B177" s="66" t="str">
        <f ca="1">IFERROR(VLOOKUP(R177,Images!$A:$C,3,FALSE),R177)</f>
        <v>Scale</v>
      </c>
      <c r="C177" s="65"/>
      <c r="D177" s="46" t="s">
        <v>357</v>
      </c>
      <c r="E177" s="66" t="str">
        <f ca="1">IFERROR(VLOOKUP(U177,Images!$A:$C,3,FALSE),"")</f>
        <v/>
      </c>
      <c r="F177" s="65"/>
      <c r="G177" s="46" t="s">
        <v>358</v>
      </c>
      <c r="H177" s="64" t="str">
        <f>IFERROR(VLOOKUP(X177,Images!$A:$C,3,FALSE),X177)</f>
        <v/>
      </c>
      <c r="I177" s="65"/>
      <c r="J177" s="43"/>
      <c r="K177" s="43"/>
      <c r="L177" s="43"/>
      <c r="M177" s="43"/>
      <c r="N177" s="43"/>
      <c r="O177" s="43"/>
      <c r="P177" s="43"/>
      <c r="Q177" s="43"/>
      <c r="R177" s="66" t="str">
        <f t="shared" si="9"/>
        <v>Scale</v>
      </c>
      <c r="S177" s="65"/>
      <c r="T177" s="46" t="s">
        <v>357</v>
      </c>
      <c r="U177" s="66" t="str">
        <f>Images!$A$14</f>
        <v>Shadow</v>
      </c>
      <c r="V177" s="65"/>
      <c r="W177" s="46" t="s">
        <v>358</v>
      </c>
      <c r="X177" s="70" t="str">
        <f t="array" ref="X177">IFERROR(INDEX('5.29 Recipe Matrix (Unsorted)'!$C$5:$P$18,MATCH(R177,'5.29 Recipe Matrix (Unsorted)'!$A$5:$A$18,0),MATCH(U177,'5.29 Recipe Matrix (Unsorted)'!$C$3:$P$3,0)),"")</f>
        <v/>
      </c>
      <c r="Y177" s="65"/>
      <c r="Z177" s="43"/>
    </row>
    <row r="178" spans="1:26" ht="37.5" customHeight="1">
      <c r="A178" s="43"/>
      <c r="B178" s="66" t="str">
        <f ca="1">IFERROR(VLOOKUP(R178,Images!$A:$C,3,FALSE),R178)</f>
        <v>Scale</v>
      </c>
      <c r="C178" s="65"/>
      <c r="D178" s="46" t="s">
        <v>357</v>
      </c>
      <c r="E178" s="66" t="str">
        <f ca="1">IFERROR(VLOOKUP(U178,Images!$A:$C,3,FALSE),"")</f>
        <v/>
      </c>
      <c r="F178" s="65"/>
      <c r="G178" s="46" t="s">
        <v>358</v>
      </c>
      <c r="H178" s="64" t="str">
        <f>IFERROR(VLOOKUP(X178,Images!$A:$C,3,FALSE),X178)</f>
        <v/>
      </c>
      <c r="I178" s="65"/>
      <c r="J178" s="43"/>
      <c r="K178" s="43"/>
      <c r="L178" s="43"/>
      <c r="M178" s="43"/>
      <c r="N178" s="43"/>
      <c r="O178" s="43"/>
      <c r="P178" s="43"/>
      <c r="Q178" s="43"/>
      <c r="R178" s="66" t="str">
        <f t="shared" si="9"/>
        <v>Scale</v>
      </c>
      <c r="S178" s="65"/>
      <c r="T178" s="46" t="s">
        <v>357</v>
      </c>
      <c r="U178" s="66" t="str">
        <f>Images!$A$15</f>
        <v>Spirit</v>
      </c>
      <c r="V178" s="65"/>
      <c r="W178" s="46" t="s">
        <v>358</v>
      </c>
      <c r="X178" s="70" t="str">
        <f t="array" ref="X178">IFERROR(INDEX('5.29 Recipe Matrix (Unsorted)'!$C$5:$P$18,MATCH(R178,'5.29 Recipe Matrix (Unsorted)'!$A$5:$A$18,0),MATCH(U178,'5.29 Recipe Matrix (Unsorted)'!$C$3:$P$3,0)),"")</f>
        <v/>
      </c>
      <c r="Y178" s="65"/>
      <c r="Z178" s="43"/>
    </row>
    <row r="179" spans="1:26" ht="37.5" customHeight="1">
      <c r="A179" s="43"/>
      <c r="B179" s="43"/>
      <c r="C179" s="43"/>
      <c r="D179" s="43"/>
      <c r="E179" s="43"/>
      <c r="F179" s="43"/>
      <c r="G179" s="43"/>
      <c r="H179" s="67" t="str">
        <f>HYPERLINK("https://docs.google.com/spreadsheets/d/1o95Ipwx6NIyFV3LCz9LGNbH9_WELHF-pbpkM31YwXyY/edit#gid=0&amp;range=A1","Back to Top")</f>
        <v>Back to Top</v>
      </c>
      <c r="I179" s="65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67" t="str">
        <f>HYPERLINK("https://docs.google.com/spreadsheets/d/1o95Ipwx6NIyFV3LCz9LGNbH9_WELHF-pbpkM31YwXyY/edit#gid=0&amp;range=A1","Back to Top")</f>
        <v>Back to Top</v>
      </c>
      <c r="Y179" s="65"/>
      <c r="Z179" s="43"/>
    </row>
    <row r="180" spans="1:26" ht="37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37.5" customHeight="1">
      <c r="A181" s="43"/>
      <c r="B181" s="68" t="str">
        <f>R181</f>
        <v>Essence Recipes</v>
      </c>
      <c r="C181" s="69"/>
      <c r="D181" s="69"/>
      <c r="E181" s="69"/>
      <c r="F181" s="69"/>
      <c r="G181" s="69"/>
      <c r="H181" s="69"/>
      <c r="I181" s="65"/>
      <c r="J181" s="43"/>
      <c r="K181" s="43"/>
      <c r="L181" s="43"/>
      <c r="M181" s="43"/>
      <c r="N181" s="43"/>
      <c r="O181" s="43"/>
      <c r="P181" s="43"/>
      <c r="Q181" s="43"/>
      <c r="R181" s="68" t="str">
        <f>R182 &amp; " Recipes"</f>
        <v>Essence Recipes</v>
      </c>
      <c r="S181" s="69"/>
      <c r="T181" s="69"/>
      <c r="U181" s="69"/>
      <c r="V181" s="69"/>
      <c r="W181" s="69"/>
      <c r="X181" s="69"/>
      <c r="Y181" s="65"/>
      <c r="Z181" s="43"/>
    </row>
    <row r="182" spans="1:26" ht="37.5" customHeight="1">
      <c r="A182" s="43"/>
      <c r="B182" s="66" t="str">
        <f ca="1">IFERROR(VLOOKUP(R182,Images!$A:$C,3,FALSE),R182)</f>
        <v>Essence</v>
      </c>
      <c r="C182" s="65"/>
      <c r="D182" s="46" t="s">
        <v>357</v>
      </c>
      <c r="E182" s="66" t="str">
        <f ca="1">IFERROR(VLOOKUP(U182,Images!$A:$C,3,FALSE),"")</f>
        <v/>
      </c>
      <c r="F182" s="65"/>
      <c r="G182" s="46" t="s">
        <v>358</v>
      </c>
      <c r="H182" s="64" t="str">
        <f>IFERROR(VLOOKUP(X182,Images!$A:$C,3,FALSE),X182)</f>
        <v>62 Currency</v>
      </c>
      <c r="I182" s="65"/>
      <c r="J182" s="43"/>
      <c r="K182" s="43"/>
      <c r="L182" s="43"/>
      <c r="M182" s="43"/>
      <c r="N182" s="43"/>
      <c r="O182" s="43"/>
      <c r="P182" s="43"/>
      <c r="Q182" s="43"/>
      <c r="R182" s="66" t="str">
        <f>Images!$A$12</f>
        <v>Essence</v>
      </c>
      <c r="S182" s="65"/>
      <c r="T182" s="46" t="s">
        <v>357</v>
      </c>
      <c r="U182" s="66" t="str">
        <f>Images!$A$2</f>
        <v>Leaf</v>
      </c>
      <c r="V182" s="65"/>
      <c r="W182" s="46" t="s">
        <v>358</v>
      </c>
      <c r="X182" s="70" t="str">
        <f t="array" ref="X182">IFERROR(INDEX('5.29 Recipe Matrix (Unsorted)'!$C$5:$P$18,MATCH(R182,'5.29 Recipe Matrix (Unsorted)'!$A$5:$A$18,0),MATCH(U182,'5.29 Recipe Matrix (Unsorted)'!$C$3:$P$3,0)),"")</f>
        <v>62 Currency</v>
      </c>
      <c r="Y182" s="65"/>
      <c r="Z182" s="43"/>
    </row>
    <row r="183" spans="1:26" ht="37.5" customHeight="1">
      <c r="A183" s="43"/>
      <c r="B183" s="66" t="str">
        <f ca="1">IFERROR(VLOOKUP(R183,Images!$A:$C,3,FALSE),R183)</f>
        <v>Essence</v>
      </c>
      <c r="C183" s="65"/>
      <c r="D183" s="46" t="s">
        <v>357</v>
      </c>
      <c r="E183" s="66" t="str">
        <f ca="1">IFERROR(VLOOKUP(U183,Images!$A:$C,3,FALSE),"")</f>
        <v/>
      </c>
      <c r="F183" s="65"/>
      <c r="G183" s="46" t="s">
        <v>358</v>
      </c>
      <c r="H183" s="64" t="str">
        <f>IFERROR(VLOOKUP(X183,Images!$A:$C,3,FALSE),X183)</f>
        <v/>
      </c>
      <c r="I183" s="65"/>
      <c r="J183" s="43"/>
      <c r="K183" s="43"/>
      <c r="L183" s="43"/>
      <c r="M183" s="43"/>
      <c r="N183" s="43"/>
      <c r="O183" s="43"/>
      <c r="P183" s="43"/>
      <c r="Q183" s="43"/>
      <c r="R183" s="66" t="str">
        <f t="shared" ref="R183:R195" si="10">R182</f>
        <v>Essence</v>
      </c>
      <c r="S183" s="65"/>
      <c r="T183" s="46" t="s">
        <v>357</v>
      </c>
      <c r="U183" s="66" t="str">
        <f>Images!$A$3</f>
        <v>Sand</v>
      </c>
      <c r="V183" s="65"/>
      <c r="W183" s="46" t="s">
        <v>358</v>
      </c>
      <c r="X183" s="70" t="str">
        <f t="array" ref="X183">IFERROR(INDEX('5.29 Recipe Matrix (Unsorted)'!$C$5:$P$18,MATCH(R183,'5.29 Recipe Matrix (Unsorted)'!$A$5:$A$18,0),MATCH(U183,'5.29 Recipe Matrix (Unsorted)'!$C$3:$P$3,0)),"")</f>
        <v/>
      </c>
      <c r="Y183" s="65"/>
      <c r="Z183" s="43"/>
    </row>
    <row r="184" spans="1:26" ht="37.5" customHeight="1">
      <c r="A184" s="43"/>
      <c r="B184" s="66" t="str">
        <f ca="1">IFERROR(VLOOKUP(R184,Images!$A:$C,3,FALSE),R184)</f>
        <v>Essence</v>
      </c>
      <c r="C184" s="65"/>
      <c r="D184" s="46" t="s">
        <v>357</v>
      </c>
      <c r="E184" s="66" t="str">
        <f ca="1">IFERROR(VLOOKUP(U184,Images!$A:$C,3,FALSE),"")</f>
        <v/>
      </c>
      <c r="F184" s="65"/>
      <c r="G184" s="46" t="s">
        <v>358</v>
      </c>
      <c r="H184" s="64" t="str">
        <f>IFERROR(VLOOKUP(X184,Images!$A:$C,3,FALSE),X184)</f>
        <v>5 Perks</v>
      </c>
      <c r="I184" s="65"/>
      <c r="J184" s="43"/>
      <c r="K184" s="43"/>
      <c r="L184" s="43"/>
      <c r="M184" s="43"/>
      <c r="N184" s="43"/>
      <c r="O184" s="43"/>
      <c r="P184" s="43"/>
      <c r="Q184" s="43"/>
      <c r="R184" s="66" t="str">
        <f t="shared" si="10"/>
        <v>Essence</v>
      </c>
      <c r="S184" s="65"/>
      <c r="T184" s="46" t="s">
        <v>357</v>
      </c>
      <c r="U184" s="66" t="str">
        <f>Images!$A$4</f>
        <v>Water</v>
      </c>
      <c r="V184" s="65"/>
      <c r="W184" s="46" t="s">
        <v>358</v>
      </c>
      <c r="X184" s="70" t="str">
        <f t="array" ref="X184">IFERROR(INDEX('5.29 Recipe Matrix (Unsorted)'!$C$5:$P$18,MATCH(R184,'5.29 Recipe Matrix (Unsorted)'!$A$5:$A$18,0),MATCH(U184,'5.29 Recipe Matrix (Unsorted)'!$C$3:$P$3,0)),"")</f>
        <v>5 Perks</v>
      </c>
      <c r="Y184" s="65"/>
      <c r="Z184" s="43"/>
    </row>
    <row r="185" spans="1:26" ht="37.5" customHeight="1">
      <c r="A185" s="43"/>
      <c r="B185" s="66" t="str">
        <f ca="1">IFERROR(VLOOKUP(R185,Images!$A:$C,3,FALSE),R185)</f>
        <v>Essence</v>
      </c>
      <c r="C185" s="65"/>
      <c r="D185" s="46" t="s">
        <v>357</v>
      </c>
      <c r="E185" s="66" t="str">
        <f ca="1">IFERROR(VLOOKUP(U185,Images!$A:$C,3,FALSE),"")</f>
        <v/>
      </c>
      <c r="F185" s="65"/>
      <c r="G185" s="46" t="s">
        <v>358</v>
      </c>
      <c r="H185" s="64" t="str">
        <f>IFERROR(VLOOKUP(X185,Images!$A:$C,3,FALSE),X185)</f>
        <v>5 Fortune Weapons</v>
      </c>
      <c r="I185" s="65"/>
      <c r="J185" s="43"/>
      <c r="K185" s="43"/>
      <c r="L185" s="43"/>
      <c r="M185" s="43"/>
      <c r="N185" s="43"/>
      <c r="O185" s="43"/>
      <c r="P185" s="43"/>
      <c r="Q185" s="43"/>
      <c r="R185" s="66" t="str">
        <f t="shared" si="10"/>
        <v>Essence</v>
      </c>
      <c r="S185" s="65"/>
      <c r="T185" s="46" t="s">
        <v>357</v>
      </c>
      <c r="U185" s="66" t="str">
        <f>Images!$A$5</f>
        <v>Lightning</v>
      </c>
      <c r="V185" s="65"/>
      <c r="W185" s="46" t="s">
        <v>358</v>
      </c>
      <c r="X185" s="70" t="str">
        <f t="array" ref="X185">IFERROR(INDEX('5.29 Recipe Matrix (Unsorted)'!$C$5:$P$18,MATCH(R185,'5.29 Recipe Matrix (Unsorted)'!$A$5:$A$18,0),MATCH(U185,'5.29 Recipe Matrix (Unsorted)'!$C$3:$P$3,0)),"")</f>
        <v>5 Fortune Weapons</v>
      </c>
      <c r="Y185" s="65"/>
      <c r="Z185" s="43"/>
    </row>
    <row r="186" spans="1:26" ht="37.5" customHeight="1">
      <c r="A186" s="43"/>
      <c r="B186" s="66" t="str">
        <f ca="1">IFERROR(VLOOKUP(R186,Images!$A:$C,3,FALSE),R186)</f>
        <v>Essence</v>
      </c>
      <c r="C186" s="65"/>
      <c r="D186" s="46" t="s">
        <v>357</v>
      </c>
      <c r="E186" s="66" t="str">
        <f ca="1">IFERROR(VLOOKUP(U186,Images!$A:$C,3,FALSE),"")</f>
        <v/>
      </c>
      <c r="F186" s="65"/>
      <c r="G186" s="46" t="s">
        <v>358</v>
      </c>
      <c r="H186" s="64" t="str">
        <f>IFERROR(VLOOKUP(X186,Images!$A:$C,3,FALSE),X186)</f>
        <v>x3 Skill Points</v>
      </c>
      <c r="I186" s="65"/>
      <c r="J186" s="43"/>
      <c r="K186" s="43"/>
      <c r="L186" s="43"/>
      <c r="M186" s="43"/>
      <c r="N186" s="43"/>
      <c r="O186" s="43"/>
      <c r="P186" s="43"/>
      <c r="Q186" s="43"/>
      <c r="R186" s="66" t="str">
        <f t="shared" si="10"/>
        <v>Essence</v>
      </c>
      <c r="S186" s="65"/>
      <c r="T186" s="46" t="s">
        <v>357</v>
      </c>
      <c r="U186" s="66" t="str">
        <f>Images!$A$6</f>
        <v>Poison</v>
      </c>
      <c r="V186" s="65"/>
      <c r="W186" s="46" t="s">
        <v>358</v>
      </c>
      <c r="X186" s="70" t="str">
        <f t="array" ref="X186">IFERROR(INDEX('5.29 Recipe Matrix (Unsorted)'!$C$5:$P$18,MATCH(R186,'5.29 Recipe Matrix (Unsorted)'!$A$5:$A$18,0),MATCH(U186,'5.29 Recipe Matrix (Unsorted)'!$C$3:$P$3,0)),"")</f>
        <v>x3 Skill Points</v>
      </c>
      <c r="Y186" s="65"/>
      <c r="Z186" s="43"/>
    </row>
    <row r="187" spans="1:26" ht="37.5" customHeight="1">
      <c r="A187" s="43"/>
      <c r="B187" s="66" t="str">
        <f ca="1">IFERROR(VLOOKUP(R187,Images!$A:$C,3,FALSE),R187)</f>
        <v>Essence</v>
      </c>
      <c r="C187" s="65"/>
      <c r="D187" s="46" t="s">
        <v>357</v>
      </c>
      <c r="E187" s="66" t="str">
        <f ca="1">IFERROR(VLOOKUP(U187,Images!$A:$C,3,FALSE),"")</f>
        <v/>
      </c>
      <c r="F187" s="65"/>
      <c r="G187" s="46" t="s">
        <v>358</v>
      </c>
      <c r="H187" s="64" t="str">
        <f>IFERROR(VLOOKUP(X187,Images!$A:$C,3,FALSE),X187)</f>
        <v>118 Currency</v>
      </c>
      <c r="I187" s="65"/>
      <c r="J187" s="43"/>
      <c r="K187" s="43"/>
      <c r="L187" s="43"/>
      <c r="M187" s="43"/>
      <c r="N187" s="43"/>
      <c r="O187" s="43"/>
      <c r="P187" s="43"/>
      <c r="Q187" s="43"/>
      <c r="R187" s="66" t="str">
        <f t="shared" si="10"/>
        <v>Essence</v>
      </c>
      <c r="S187" s="65"/>
      <c r="T187" s="46" t="s">
        <v>357</v>
      </c>
      <c r="U187" s="66" t="str">
        <f>Images!$A$7</f>
        <v>Beetle</v>
      </c>
      <c r="V187" s="65"/>
      <c r="W187" s="46" t="s">
        <v>358</v>
      </c>
      <c r="X187" s="70" t="str">
        <f t="array" ref="X187">IFERROR(INDEX('5.29 Recipe Matrix (Unsorted)'!$C$5:$P$18,MATCH(R187,'5.29 Recipe Matrix (Unsorted)'!$A$5:$A$18,0),MATCH(U187,'5.29 Recipe Matrix (Unsorted)'!$C$3:$P$3,0)),"")</f>
        <v>118 Currency</v>
      </c>
      <c r="Y187" s="65"/>
      <c r="Z187" s="43"/>
    </row>
    <row r="188" spans="1:26" ht="37.5" customHeight="1">
      <c r="A188" s="43"/>
      <c r="B188" s="66" t="str">
        <f ca="1">IFERROR(VLOOKUP(R188,Images!$A:$C,3,FALSE),R188)</f>
        <v>Essence</v>
      </c>
      <c r="C188" s="65"/>
      <c r="D188" s="46" t="s">
        <v>357</v>
      </c>
      <c r="E188" s="66" t="str">
        <f ca="1">IFERROR(VLOOKUP(U188,Images!$A:$C,3,FALSE),"")</f>
        <v/>
      </c>
      <c r="F188" s="65"/>
      <c r="G188" s="46" t="s">
        <v>358</v>
      </c>
      <c r="H188" s="64" t="str">
        <f>IFERROR(VLOOKUP(X188,Images!$A:$C,3,FALSE),X188)</f>
        <v/>
      </c>
      <c r="I188" s="65"/>
      <c r="J188" s="43"/>
      <c r="K188" s="43"/>
      <c r="L188" s="43"/>
      <c r="M188" s="43"/>
      <c r="N188" s="43"/>
      <c r="O188" s="43"/>
      <c r="P188" s="43"/>
      <c r="Q188" s="43"/>
      <c r="R188" s="66" t="str">
        <f t="shared" si="10"/>
        <v>Essence</v>
      </c>
      <c r="S188" s="65"/>
      <c r="T188" s="46" t="s">
        <v>357</v>
      </c>
      <c r="U188" s="66" t="str">
        <f>Images!$A$8</f>
        <v>Tooth</v>
      </c>
      <c r="V188" s="65"/>
      <c r="W188" s="46" t="s">
        <v>358</v>
      </c>
      <c r="X188" s="70" t="str">
        <f t="array" ref="X188">IFERROR(INDEX('5.29 Recipe Matrix (Unsorted)'!$C$5:$P$18,MATCH(R188,'5.29 Recipe Matrix (Unsorted)'!$A$5:$A$18,0),MATCH(U188,'5.29 Recipe Matrix (Unsorted)'!$C$3:$P$3,0)),"")</f>
        <v/>
      </c>
      <c r="Y188" s="65"/>
      <c r="Z188" s="43"/>
    </row>
    <row r="189" spans="1:26" ht="37.5" customHeight="1">
      <c r="A189" s="43"/>
      <c r="B189" s="66" t="str">
        <f ca="1">IFERROR(VLOOKUP(R189,Images!$A:$C,3,FALSE),R189)</f>
        <v>Essence</v>
      </c>
      <c r="C189" s="65"/>
      <c r="D189" s="46" t="s">
        <v>357</v>
      </c>
      <c r="E189" s="66" t="str">
        <f ca="1">IFERROR(VLOOKUP(U189,Images!$A:$C,3,FALSE),"")</f>
        <v/>
      </c>
      <c r="F189" s="65"/>
      <c r="G189" s="46" t="s">
        <v>358</v>
      </c>
      <c r="H189" s="64" t="str">
        <f>IFERROR(VLOOKUP(X189,Images!$A:$C,3,FALSE),X189)</f>
        <v>488 Dust</v>
      </c>
      <c r="I189" s="65"/>
      <c r="J189" s="43"/>
      <c r="K189" s="43"/>
      <c r="L189" s="43"/>
      <c r="M189" s="43"/>
      <c r="N189" s="43"/>
      <c r="O189" s="43"/>
      <c r="P189" s="43"/>
      <c r="Q189" s="43"/>
      <c r="R189" s="66" t="str">
        <f t="shared" si="10"/>
        <v>Essence</v>
      </c>
      <c r="S189" s="65"/>
      <c r="T189" s="46" t="s">
        <v>357</v>
      </c>
      <c r="U189" s="66" t="str">
        <f>Images!$A$9</f>
        <v>Flame</v>
      </c>
      <c r="V189" s="65"/>
      <c r="W189" s="46" t="s">
        <v>358</v>
      </c>
      <c r="X189" s="70" t="str">
        <f t="array" ref="X189">IFERROR(INDEX('5.29 Recipe Matrix (Unsorted)'!$C$5:$P$18,MATCH(R189,'5.29 Recipe Matrix (Unsorted)'!$A$5:$A$18,0),MATCH(U189,'5.29 Recipe Matrix (Unsorted)'!$C$3:$P$3,0)),"")</f>
        <v>488 Dust</v>
      </c>
      <c r="Y189" s="65"/>
      <c r="Z189" s="43"/>
    </row>
    <row r="190" spans="1:26" ht="37.5" customHeight="1">
      <c r="A190" s="43"/>
      <c r="B190" s="66" t="str">
        <f ca="1">IFERROR(VLOOKUP(R190,Images!$A:$C,3,FALSE),R190)</f>
        <v>Essence</v>
      </c>
      <c r="C190" s="65"/>
      <c r="D190" s="46" t="s">
        <v>357</v>
      </c>
      <c r="E190" s="66" t="str">
        <f ca="1">IFERROR(VLOOKUP(U190,Images!$A:$C,3,FALSE),"")</f>
        <v/>
      </c>
      <c r="F190" s="65"/>
      <c r="G190" s="46" t="s">
        <v>358</v>
      </c>
      <c r="H190" s="64" t="str">
        <f>IFERROR(VLOOKUP(X190,Images!$A:$C,3,FALSE),X190)</f>
        <v>168 Currency</v>
      </c>
      <c r="I190" s="65"/>
      <c r="J190" s="43"/>
      <c r="K190" s="43"/>
      <c r="L190" s="43"/>
      <c r="M190" s="43"/>
      <c r="N190" s="43"/>
      <c r="O190" s="43"/>
      <c r="P190" s="43"/>
      <c r="Q190" s="43"/>
      <c r="R190" s="66" t="str">
        <f t="shared" si="10"/>
        <v>Essence</v>
      </c>
      <c r="S190" s="65"/>
      <c r="T190" s="46" t="s">
        <v>357</v>
      </c>
      <c r="U190" s="66" t="str">
        <f>Images!$A$10</f>
        <v>Steel</v>
      </c>
      <c r="V190" s="65"/>
      <c r="W190" s="46" t="s">
        <v>358</v>
      </c>
      <c r="X190" s="70" t="str">
        <f t="array" ref="X190">IFERROR(INDEX('5.29 Recipe Matrix (Unsorted)'!$C$5:$P$18,MATCH(R190,'5.29 Recipe Matrix (Unsorted)'!$A$5:$A$18,0),MATCH(U190,'5.29 Recipe Matrix (Unsorted)'!$C$3:$P$3,0)),"")</f>
        <v>168 Currency</v>
      </c>
      <c r="Y190" s="65"/>
      <c r="Z190" s="43"/>
    </row>
    <row r="191" spans="1:26" ht="37.5" customHeight="1">
      <c r="A191" s="43"/>
      <c r="B191" s="66" t="str">
        <f ca="1">IFERROR(VLOOKUP(R191,Images!$A:$C,3,FALSE),R191)</f>
        <v>Essence</v>
      </c>
      <c r="C191" s="65"/>
      <c r="D191" s="46" t="s">
        <v>357</v>
      </c>
      <c r="E191" s="66" t="str">
        <f ca="1">IFERROR(VLOOKUP(U191,Images!$A:$C,3,FALSE),"")</f>
        <v/>
      </c>
      <c r="F191" s="65"/>
      <c r="G191" s="46" t="s">
        <v>358</v>
      </c>
      <c r="H191" s="64" t="str">
        <f>IFERROR(VLOOKUP(X191,Images!$A:$C,3,FALSE),X191)</f>
        <v>702 Dust</v>
      </c>
      <c r="I191" s="65"/>
      <c r="J191" s="43"/>
      <c r="K191" s="43"/>
      <c r="L191" s="43"/>
      <c r="M191" s="43"/>
      <c r="N191" s="43"/>
      <c r="O191" s="43"/>
      <c r="P191" s="43"/>
      <c r="Q191" s="43"/>
      <c r="R191" s="66" t="str">
        <f t="shared" si="10"/>
        <v>Essence</v>
      </c>
      <c r="S191" s="65"/>
      <c r="T191" s="46" t="s">
        <v>357</v>
      </c>
      <c r="U191" s="66" t="str">
        <f>Images!$A$11</f>
        <v>Scale</v>
      </c>
      <c r="V191" s="65"/>
      <c r="W191" s="46" t="s">
        <v>358</v>
      </c>
      <c r="X191" s="70" t="str">
        <f t="array" ref="X191">IFERROR(INDEX('5.29 Recipe Matrix (Unsorted)'!$C$5:$P$18,MATCH(R191,'5.29 Recipe Matrix (Unsorted)'!$A$5:$A$18,0),MATCH(U191,'5.29 Recipe Matrix (Unsorted)'!$C$3:$P$3,0)),"")</f>
        <v>702 Dust</v>
      </c>
      <c r="Y191" s="65"/>
      <c r="Z191" s="43"/>
    </row>
    <row r="192" spans="1:26" ht="37.5" customHeight="1">
      <c r="A192" s="43"/>
      <c r="B192" s="66" t="str">
        <f ca="1">IFERROR(VLOOKUP(R192,Images!$A:$C,3,FALSE),R192)</f>
        <v>Essence</v>
      </c>
      <c r="C192" s="65"/>
      <c r="D192" s="46" t="s">
        <v>357</v>
      </c>
      <c r="E192" s="66" t="str">
        <f ca="1">IFERROR(VLOOKUP(U192,Images!$A:$C,3,FALSE),"")</f>
        <v/>
      </c>
      <c r="F192" s="65"/>
      <c r="G192" s="46" t="s">
        <v>358</v>
      </c>
      <c r="H192" s="64" t="str">
        <f>IFERROR(VLOOKUP(X192,Images!$A:$C,3,FALSE),X192)</f>
        <v>118 Currency</v>
      </c>
      <c r="I192" s="65"/>
      <c r="J192" s="43"/>
      <c r="K192" s="43"/>
      <c r="L192" s="43"/>
      <c r="M192" s="43"/>
      <c r="N192" s="43"/>
      <c r="O192" s="43"/>
      <c r="P192" s="43"/>
      <c r="Q192" s="43"/>
      <c r="R192" s="66" t="str">
        <f t="shared" si="10"/>
        <v>Essence</v>
      </c>
      <c r="S192" s="65"/>
      <c r="T192" s="46" t="s">
        <v>357</v>
      </c>
      <c r="U192" s="66" t="str">
        <f>Images!$A$12</f>
        <v>Essence</v>
      </c>
      <c r="V192" s="65"/>
      <c r="W192" s="46" t="s">
        <v>358</v>
      </c>
      <c r="X192" s="70" t="str">
        <f t="array" ref="X192">IFERROR(INDEX('5.29 Recipe Matrix (Unsorted)'!$C$5:$P$18,MATCH(R192,'5.29 Recipe Matrix (Unsorted)'!$A$5:$A$18,0),MATCH(U192,'5.29 Recipe Matrix (Unsorted)'!$C$3:$P$3,0)),"")</f>
        <v>118 Currency</v>
      </c>
      <c r="Y192" s="65"/>
      <c r="Z192" s="43"/>
    </row>
    <row r="193" spans="1:26" ht="37.5" customHeight="1">
      <c r="A193" s="43"/>
      <c r="B193" s="66" t="str">
        <f ca="1">IFERROR(VLOOKUP(R193,Images!$A:$C,3,FALSE),R193)</f>
        <v>Essence</v>
      </c>
      <c r="C193" s="65"/>
      <c r="D193" s="46" t="s">
        <v>357</v>
      </c>
      <c r="E193" s="66" t="str">
        <f ca="1">IFERROR(VLOOKUP(U193,Images!$A:$C,3,FALSE),"")</f>
        <v/>
      </c>
      <c r="F193" s="65"/>
      <c r="G193" s="46" t="s">
        <v>358</v>
      </c>
      <c r="H193" s="64" t="str">
        <f>IFERROR(VLOOKUP(X193,Images!$A:$C,3,FALSE),X193)</f>
        <v>137 Currency</v>
      </c>
      <c r="I193" s="65"/>
      <c r="J193" s="43"/>
      <c r="K193" s="43"/>
      <c r="L193" s="43"/>
      <c r="M193" s="43"/>
      <c r="N193" s="43"/>
      <c r="O193" s="43"/>
      <c r="P193" s="43"/>
      <c r="Q193" s="43"/>
      <c r="R193" s="66" t="str">
        <f t="shared" si="10"/>
        <v>Essence</v>
      </c>
      <c r="S193" s="65"/>
      <c r="T193" s="46" t="s">
        <v>357</v>
      </c>
      <c r="U193" s="66" t="str">
        <f>Images!$A$13</f>
        <v>Power</v>
      </c>
      <c r="V193" s="65"/>
      <c r="W193" s="46" t="s">
        <v>358</v>
      </c>
      <c r="X193" s="70" t="str">
        <f t="array" ref="X193">IFERROR(INDEX('5.29 Recipe Matrix (Unsorted)'!$C$5:$P$18,MATCH(R193,'5.29 Recipe Matrix (Unsorted)'!$A$5:$A$18,0),MATCH(U193,'5.29 Recipe Matrix (Unsorted)'!$C$3:$P$3,0)),"")</f>
        <v>137 Currency</v>
      </c>
      <c r="Y193" s="65"/>
      <c r="Z193" s="43"/>
    </row>
    <row r="194" spans="1:26" ht="37.5" customHeight="1">
      <c r="A194" s="43"/>
      <c r="B194" s="66" t="str">
        <f ca="1">IFERROR(VLOOKUP(R194,Images!$A:$C,3,FALSE),R194)</f>
        <v>Essence</v>
      </c>
      <c r="C194" s="65"/>
      <c r="D194" s="46" t="s">
        <v>357</v>
      </c>
      <c r="E194" s="66" t="str">
        <f ca="1">IFERROR(VLOOKUP(U194,Images!$A:$C,3,FALSE),"")</f>
        <v/>
      </c>
      <c r="F194" s="65"/>
      <c r="G194" s="46" t="s">
        <v>358</v>
      </c>
      <c r="H194" s="64" t="str">
        <f>IFERROR(VLOOKUP(X194,Images!$A:$C,3,FALSE),X194)</f>
        <v/>
      </c>
      <c r="I194" s="65"/>
      <c r="J194" s="43"/>
      <c r="K194" s="43"/>
      <c r="L194" s="43"/>
      <c r="M194" s="43"/>
      <c r="N194" s="43"/>
      <c r="O194" s="43"/>
      <c r="P194" s="43"/>
      <c r="Q194" s="43"/>
      <c r="R194" s="66" t="str">
        <f t="shared" si="10"/>
        <v>Essence</v>
      </c>
      <c r="S194" s="65"/>
      <c r="T194" s="46" t="s">
        <v>357</v>
      </c>
      <c r="U194" s="66" t="str">
        <f>Images!$A$14</f>
        <v>Shadow</v>
      </c>
      <c r="V194" s="65"/>
      <c r="W194" s="46" t="s">
        <v>358</v>
      </c>
      <c r="X194" s="70" t="str">
        <f t="array" ref="X194">IFERROR(INDEX('5.29 Recipe Matrix (Unsorted)'!$C$5:$P$18,MATCH(R194,'5.29 Recipe Matrix (Unsorted)'!$A$5:$A$18,0),MATCH(U194,'5.29 Recipe Matrix (Unsorted)'!$C$3:$P$3,0)),"")</f>
        <v/>
      </c>
      <c r="Y194" s="65"/>
      <c r="Z194" s="43"/>
    </row>
    <row r="195" spans="1:26" ht="37.5" customHeight="1">
      <c r="A195" s="43"/>
      <c r="B195" s="66" t="str">
        <f ca="1">IFERROR(VLOOKUP(R195,Images!$A:$C,3,FALSE),R195)</f>
        <v>Essence</v>
      </c>
      <c r="C195" s="65"/>
      <c r="D195" s="46" t="s">
        <v>357</v>
      </c>
      <c r="E195" s="66" t="str">
        <f ca="1">IFERROR(VLOOKUP(U195,Images!$A:$C,3,FALSE),"")</f>
        <v/>
      </c>
      <c r="F195" s="65"/>
      <c r="G195" s="46" t="s">
        <v>358</v>
      </c>
      <c r="H195" s="64" t="str">
        <f>IFERROR(VLOOKUP(X195,Images!$A:$C,3,FALSE),X195)</f>
        <v/>
      </c>
      <c r="I195" s="65"/>
      <c r="J195" s="43"/>
      <c r="K195" s="43"/>
      <c r="L195" s="43"/>
      <c r="M195" s="43"/>
      <c r="N195" s="43"/>
      <c r="O195" s="43"/>
      <c r="P195" s="43"/>
      <c r="Q195" s="43"/>
      <c r="R195" s="66" t="str">
        <f t="shared" si="10"/>
        <v>Essence</v>
      </c>
      <c r="S195" s="65"/>
      <c r="T195" s="46" t="s">
        <v>357</v>
      </c>
      <c r="U195" s="66" t="str">
        <f>Images!$A$15</f>
        <v>Spirit</v>
      </c>
      <c r="V195" s="65"/>
      <c r="W195" s="46" t="s">
        <v>358</v>
      </c>
      <c r="X195" s="70" t="str">
        <f t="array" ref="X195">IFERROR(INDEX('5.29 Recipe Matrix (Unsorted)'!$C$5:$P$18,MATCH(R195,'5.29 Recipe Matrix (Unsorted)'!$A$5:$A$18,0),MATCH(U195,'5.29 Recipe Matrix (Unsorted)'!$C$3:$P$3,0)),"")</f>
        <v/>
      </c>
      <c r="Y195" s="65"/>
      <c r="Z195" s="43"/>
    </row>
    <row r="196" spans="1:26" ht="37.5" customHeight="1">
      <c r="A196" s="43"/>
      <c r="B196" s="43"/>
      <c r="C196" s="43"/>
      <c r="D196" s="43"/>
      <c r="E196" s="43"/>
      <c r="F196" s="43"/>
      <c r="G196" s="43"/>
      <c r="H196" s="67" t="str">
        <f>HYPERLINK("https://docs.google.com/spreadsheets/d/1o95Ipwx6NIyFV3LCz9LGNbH9_WELHF-pbpkM31YwXyY/edit#gid=0&amp;range=A1","Back to Top")</f>
        <v>Back to Top</v>
      </c>
      <c r="I196" s="65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67" t="str">
        <f>HYPERLINK("https://docs.google.com/spreadsheets/d/1o95Ipwx6NIyFV3LCz9LGNbH9_WELHF-pbpkM31YwXyY/edit#gid=0&amp;range=A1","Back to Top")</f>
        <v>Back to Top</v>
      </c>
      <c r="Y196" s="65"/>
      <c r="Z196" s="43"/>
    </row>
    <row r="197" spans="1:26" ht="37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37.5" customHeight="1">
      <c r="A198" s="43"/>
      <c r="B198" s="68" t="str">
        <f>R198</f>
        <v>Power Recipes</v>
      </c>
      <c r="C198" s="69"/>
      <c r="D198" s="69"/>
      <c r="E198" s="69"/>
      <c r="F198" s="69"/>
      <c r="G198" s="69"/>
      <c r="H198" s="69"/>
      <c r="I198" s="65"/>
      <c r="J198" s="43"/>
      <c r="K198" s="43"/>
      <c r="L198" s="43"/>
      <c r="M198" s="43"/>
      <c r="N198" s="43"/>
      <c r="O198" s="43"/>
      <c r="P198" s="43"/>
      <c r="Q198" s="43"/>
      <c r="R198" s="68" t="str">
        <f>R199 &amp; " Recipes"</f>
        <v>Power Recipes</v>
      </c>
      <c r="S198" s="69"/>
      <c r="T198" s="69"/>
      <c r="U198" s="69"/>
      <c r="V198" s="69"/>
      <c r="W198" s="69"/>
      <c r="X198" s="69"/>
      <c r="Y198" s="65"/>
      <c r="Z198" s="43"/>
    </row>
    <row r="199" spans="1:26" ht="37.5" customHeight="1">
      <c r="A199" s="43"/>
      <c r="B199" s="66" t="str">
        <f ca="1">IFERROR(VLOOKUP(R199,Images!$A:$C,3,FALSE),R199)</f>
        <v>Power</v>
      </c>
      <c r="C199" s="65"/>
      <c r="D199" s="46" t="s">
        <v>357</v>
      </c>
      <c r="E199" s="66" t="str">
        <f ca="1">IFERROR(VLOOKUP(U199,Images!$A:$C,3,FALSE),"")</f>
        <v/>
      </c>
      <c r="F199" s="65"/>
      <c r="G199" s="46" t="s">
        <v>358</v>
      </c>
      <c r="H199" s="64" t="str">
        <f>IFERROR(VLOOKUP(X199,Images!$A:$C,3,FALSE),X199)</f>
        <v>x8 Rare Equipment</v>
      </c>
      <c r="I199" s="65"/>
      <c r="J199" s="43"/>
      <c r="K199" s="43"/>
      <c r="L199" s="43"/>
      <c r="M199" s="43"/>
      <c r="N199" s="43"/>
      <c r="O199" s="43"/>
      <c r="P199" s="43"/>
      <c r="Q199" s="43"/>
      <c r="R199" s="66" t="str">
        <f>Images!$A$13</f>
        <v>Power</v>
      </c>
      <c r="S199" s="65"/>
      <c r="T199" s="46" t="s">
        <v>357</v>
      </c>
      <c r="U199" s="66" t="str">
        <f>Images!$A$2</f>
        <v>Leaf</v>
      </c>
      <c r="V199" s="65"/>
      <c r="W199" s="46" t="s">
        <v>358</v>
      </c>
      <c r="X199" s="70" t="str">
        <f t="array" ref="X199">IFERROR(INDEX('5.29 Recipe Matrix (Unsorted)'!$C$5:$P$18,MATCH(R199,'5.29 Recipe Matrix (Unsorted)'!$A$5:$A$18,0),MATCH(U199,'5.29 Recipe Matrix (Unsorted)'!$C$3:$P$3,0)),"")</f>
        <v>x8 Rare Equipment</v>
      </c>
      <c r="Y199" s="65"/>
      <c r="Z199" s="43"/>
    </row>
    <row r="200" spans="1:26" ht="37.5" customHeight="1">
      <c r="A200" s="43"/>
      <c r="B200" s="66" t="str">
        <f ca="1">IFERROR(VLOOKUP(R200,Images!$A:$C,3,FALSE),R200)</f>
        <v>Power</v>
      </c>
      <c r="C200" s="65"/>
      <c r="D200" s="46" t="s">
        <v>357</v>
      </c>
      <c r="E200" s="66" t="str">
        <f ca="1">IFERROR(VLOOKUP(U200,Images!$A:$C,3,FALSE),"")</f>
        <v/>
      </c>
      <c r="F200" s="65"/>
      <c r="G200" s="46" t="s">
        <v>358</v>
      </c>
      <c r="H200" s="64" t="str">
        <f>IFERROR(VLOOKUP(X200,Images!$A:$C,3,FALSE),X200)</f>
        <v/>
      </c>
      <c r="I200" s="65"/>
      <c r="J200" s="43"/>
      <c r="K200" s="43"/>
      <c r="L200" s="43"/>
      <c r="M200" s="43"/>
      <c r="N200" s="43"/>
      <c r="O200" s="43"/>
      <c r="P200" s="43"/>
      <c r="Q200" s="43"/>
      <c r="R200" s="66" t="str">
        <f t="shared" ref="R200:R212" si="11">R199</f>
        <v>Power</v>
      </c>
      <c r="S200" s="65"/>
      <c r="T200" s="46" t="s">
        <v>357</v>
      </c>
      <c r="U200" s="66" t="str">
        <f>Images!$A$3</f>
        <v>Sand</v>
      </c>
      <c r="V200" s="65"/>
      <c r="W200" s="46" t="s">
        <v>358</v>
      </c>
      <c r="X200" s="70" t="str">
        <f t="array" ref="X200">IFERROR(INDEX('5.29 Recipe Matrix (Unsorted)'!$C$5:$P$18,MATCH(R200,'5.29 Recipe Matrix (Unsorted)'!$A$5:$A$18,0),MATCH(U200,'5.29 Recipe Matrix (Unsorted)'!$C$3:$P$3,0)),"")</f>
        <v/>
      </c>
      <c r="Y200" s="65"/>
      <c r="Z200" s="43"/>
    </row>
    <row r="201" spans="1:26" ht="37.5" customHeight="1">
      <c r="A201" s="43"/>
      <c r="B201" s="66" t="str">
        <f ca="1">IFERROR(VLOOKUP(R201,Images!$A:$C,3,FALSE),R201)</f>
        <v>Power</v>
      </c>
      <c r="C201" s="65"/>
      <c r="D201" s="46" t="s">
        <v>357</v>
      </c>
      <c r="E201" s="66" t="str">
        <f ca="1">IFERROR(VLOOKUP(U201,Images!$A:$C,3,FALSE),"")</f>
        <v/>
      </c>
      <c r="F201" s="65"/>
      <c r="G201" s="46" t="s">
        <v>358</v>
      </c>
      <c r="H201" s="64" t="str">
        <f>IFERROR(VLOOKUP(X201,Images!$A:$C,3,FALSE),X201)</f>
        <v>6 Perks</v>
      </c>
      <c r="I201" s="65"/>
      <c r="J201" s="43"/>
      <c r="K201" s="43"/>
      <c r="L201" s="43"/>
      <c r="M201" s="43"/>
      <c r="N201" s="43"/>
      <c r="O201" s="43"/>
      <c r="P201" s="43"/>
      <c r="Q201" s="43"/>
      <c r="R201" s="66" t="str">
        <f t="shared" si="11"/>
        <v>Power</v>
      </c>
      <c r="S201" s="65"/>
      <c r="T201" s="46" t="s">
        <v>357</v>
      </c>
      <c r="U201" s="66" t="str">
        <f>Images!$A$4</f>
        <v>Water</v>
      </c>
      <c r="V201" s="65"/>
      <c r="W201" s="46" t="s">
        <v>358</v>
      </c>
      <c r="X201" s="70" t="str">
        <f t="array" ref="X201">IFERROR(INDEX('5.29 Recipe Matrix (Unsorted)'!$C$5:$P$18,MATCH(R201,'5.29 Recipe Matrix (Unsorted)'!$A$5:$A$18,0),MATCH(U201,'5.29 Recipe Matrix (Unsorted)'!$C$3:$P$3,0)),"")</f>
        <v>6 Perks</v>
      </c>
      <c r="Y201" s="65"/>
      <c r="Z201" s="43"/>
    </row>
    <row r="202" spans="1:26" ht="37.5" customHeight="1">
      <c r="A202" s="43"/>
      <c r="B202" s="66" t="str">
        <f ca="1">IFERROR(VLOOKUP(R202,Images!$A:$C,3,FALSE),R202)</f>
        <v>Power</v>
      </c>
      <c r="C202" s="65"/>
      <c r="D202" s="46" t="s">
        <v>357</v>
      </c>
      <c r="E202" s="66" t="str">
        <f ca="1">IFERROR(VLOOKUP(U202,Images!$A:$C,3,FALSE),"")</f>
        <v/>
      </c>
      <c r="F202" s="65"/>
      <c r="G202" s="46" t="s">
        <v>358</v>
      </c>
      <c r="H202" s="64" t="str">
        <f>IFERROR(VLOOKUP(X202,Images!$A:$C,3,FALSE),X202)</f>
        <v>x6 Fortune Weapons</v>
      </c>
      <c r="I202" s="65"/>
      <c r="J202" s="43"/>
      <c r="K202" s="43"/>
      <c r="L202" s="43"/>
      <c r="M202" s="43"/>
      <c r="N202" s="43"/>
      <c r="O202" s="43"/>
      <c r="P202" s="43"/>
      <c r="Q202" s="43"/>
      <c r="R202" s="66" t="str">
        <f t="shared" si="11"/>
        <v>Power</v>
      </c>
      <c r="S202" s="65"/>
      <c r="T202" s="46" t="s">
        <v>357</v>
      </c>
      <c r="U202" s="66" t="str">
        <f>Images!$A$5</f>
        <v>Lightning</v>
      </c>
      <c r="V202" s="65"/>
      <c r="W202" s="46" t="s">
        <v>358</v>
      </c>
      <c r="X202" s="70" t="str">
        <f t="array" ref="X202">IFERROR(INDEX('5.29 Recipe Matrix (Unsorted)'!$C$5:$P$18,MATCH(R202,'5.29 Recipe Matrix (Unsorted)'!$A$5:$A$18,0),MATCH(U202,'5.29 Recipe Matrix (Unsorted)'!$C$3:$P$3,0)),"")</f>
        <v>x6 Fortune Weapons</v>
      </c>
      <c r="Y202" s="65"/>
      <c r="Z202" s="43"/>
    </row>
    <row r="203" spans="1:26" ht="37.5" customHeight="1">
      <c r="A203" s="43"/>
      <c r="B203" s="66" t="str">
        <f ca="1">IFERROR(VLOOKUP(R203,Images!$A:$C,3,FALSE),R203)</f>
        <v>Power</v>
      </c>
      <c r="C203" s="65"/>
      <c r="D203" s="46" t="s">
        <v>357</v>
      </c>
      <c r="E203" s="66" t="str">
        <f ca="1">IFERROR(VLOOKUP(U203,Images!$A:$C,3,FALSE),"")</f>
        <v/>
      </c>
      <c r="F203" s="65"/>
      <c r="G203" s="46" t="s">
        <v>358</v>
      </c>
      <c r="H203" s="64" t="str">
        <f>IFERROR(VLOOKUP(X203,Images!$A:$C,3,FALSE),X203)</f>
        <v>96 Currency</v>
      </c>
      <c r="I203" s="65"/>
      <c r="J203" s="43"/>
      <c r="K203" s="43"/>
      <c r="L203" s="43"/>
      <c r="M203" s="43"/>
      <c r="N203" s="43"/>
      <c r="O203" s="43"/>
      <c r="P203" s="43"/>
      <c r="Q203" s="43"/>
      <c r="R203" s="66" t="str">
        <f t="shared" si="11"/>
        <v>Power</v>
      </c>
      <c r="S203" s="65"/>
      <c r="T203" s="46" t="s">
        <v>357</v>
      </c>
      <c r="U203" s="66" t="str">
        <f>Images!$A$6</f>
        <v>Poison</v>
      </c>
      <c r="V203" s="65"/>
      <c r="W203" s="46" t="s">
        <v>358</v>
      </c>
      <c r="X203" s="70" t="str">
        <f t="array" ref="X203">IFERROR(INDEX('5.29 Recipe Matrix (Unsorted)'!$C$5:$P$18,MATCH(R203,'5.29 Recipe Matrix (Unsorted)'!$A$5:$A$18,0),MATCH(U203,'5.29 Recipe Matrix (Unsorted)'!$C$3:$P$3,0)),"")</f>
        <v>96 Currency</v>
      </c>
      <c r="Y203" s="65"/>
      <c r="Z203" s="43"/>
    </row>
    <row r="204" spans="1:26" ht="37.5" customHeight="1">
      <c r="A204" s="43"/>
      <c r="B204" s="66" t="str">
        <f ca="1">IFERROR(VLOOKUP(R204,Images!$A:$C,3,FALSE),R204)</f>
        <v>Power</v>
      </c>
      <c r="C204" s="65"/>
      <c r="D204" s="46" t="s">
        <v>357</v>
      </c>
      <c r="E204" s="66" t="str">
        <f ca="1">IFERROR(VLOOKUP(U204,Images!$A:$C,3,FALSE),"")</f>
        <v/>
      </c>
      <c r="F204" s="65"/>
      <c r="G204" s="46" t="s">
        <v>358</v>
      </c>
      <c r="H204" s="64" t="str">
        <f>IFERROR(VLOOKUP(X204,Images!$A:$C,3,FALSE),X204)</f>
        <v>137 Currency</v>
      </c>
      <c r="I204" s="65"/>
      <c r="J204" s="43"/>
      <c r="K204" s="43"/>
      <c r="L204" s="43"/>
      <c r="M204" s="43"/>
      <c r="N204" s="43"/>
      <c r="O204" s="43"/>
      <c r="P204" s="43"/>
      <c r="Q204" s="43"/>
      <c r="R204" s="66" t="str">
        <f t="shared" si="11"/>
        <v>Power</v>
      </c>
      <c r="S204" s="65"/>
      <c r="T204" s="46" t="s">
        <v>357</v>
      </c>
      <c r="U204" s="66" t="str">
        <f>Images!$A$7</f>
        <v>Beetle</v>
      </c>
      <c r="V204" s="65"/>
      <c r="W204" s="46" t="s">
        <v>358</v>
      </c>
      <c r="X204" s="70" t="str">
        <f t="array" ref="X204">IFERROR(INDEX('5.29 Recipe Matrix (Unsorted)'!$C$5:$P$18,MATCH(R204,'5.29 Recipe Matrix (Unsorted)'!$A$5:$A$18,0),MATCH(U204,'5.29 Recipe Matrix (Unsorted)'!$C$3:$P$3,0)),"")</f>
        <v>137 Currency</v>
      </c>
      <c r="Y204" s="65"/>
      <c r="Z204" s="43"/>
    </row>
    <row r="205" spans="1:26" ht="37.5" customHeight="1">
      <c r="A205" s="43"/>
      <c r="B205" s="66" t="str">
        <f ca="1">IFERROR(VLOOKUP(R205,Images!$A:$C,3,FALSE),R205)</f>
        <v>Power</v>
      </c>
      <c r="C205" s="65"/>
      <c r="D205" s="46" t="s">
        <v>357</v>
      </c>
      <c r="E205" s="66" t="str">
        <f ca="1">IFERROR(VLOOKUP(U205,Images!$A:$C,3,FALSE),"")</f>
        <v/>
      </c>
      <c r="F205" s="65"/>
      <c r="G205" s="46" t="s">
        <v>358</v>
      </c>
      <c r="H205" s="64" t="str">
        <f>IFERROR(VLOOKUP(X205,Images!$A:$C,3,FALSE),X205)</f>
        <v/>
      </c>
      <c r="I205" s="65"/>
      <c r="J205" s="43"/>
      <c r="K205" s="43"/>
      <c r="L205" s="43"/>
      <c r="M205" s="43"/>
      <c r="N205" s="43"/>
      <c r="O205" s="43"/>
      <c r="P205" s="43"/>
      <c r="Q205" s="43"/>
      <c r="R205" s="66" t="str">
        <f t="shared" si="11"/>
        <v>Power</v>
      </c>
      <c r="S205" s="65"/>
      <c r="T205" s="46" t="s">
        <v>357</v>
      </c>
      <c r="U205" s="66" t="str">
        <f>Images!$A$8</f>
        <v>Tooth</v>
      </c>
      <c r="V205" s="65"/>
      <c r="W205" s="46" t="s">
        <v>358</v>
      </c>
      <c r="X205" s="70" t="str">
        <f t="array" ref="X205">IFERROR(INDEX('5.29 Recipe Matrix (Unsorted)'!$C$5:$P$18,MATCH(R205,'5.29 Recipe Matrix (Unsorted)'!$A$5:$A$18,0),MATCH(U205,'5.29 Recipe Matrix (Unsorted)'!$C$3:$P$3,0)),"")</f>
        <v/>
      </c>
      <c r="Y205" s="65"/>
      <c r="Z205" s="43"/>
    </row>
    <row r="206" spans="1:26" ht="37.5" customHeight="1">
      <c r="A206" s="43"/>
      <c r="B206" s="66" t="str">
        <f ca="1">IFERROR(VLOOKUP(R206,Images!$A:$C,3,FALSE),R206)</f>
        <v>Power</v>
      </c>
      <c r="C206" s="65"/>
      <c r="D206" s="46" t="s">
        <v>357</v>
      </c>
      <c r="E206" s="66" t="str">
        <f ca="1">IFERROR(VLOOKUP(U206,Images!$A:$C,3,FALSE),"")</f>
        <v/>
      </c>
      <c r="F206" s="65"/>
      <c r="G206" s="46" t="s">
        <v>358</v>
      </c>
      <c r="H206" s="64" t="str">
        <f>IFERROR(VLOOKUP(X206,Images!$A:$C,3,FALSE),X206)</f>
        <v>116 Currency</v>
      </c>
      <c r="I206" s="65"/>
      <c r="J206" s="43"/>
      <c r="K206" s="43"/>
      <c r="L206" s="43"/>
      <c r="M206" s="43"/>
      <c r="N206" s="43"/>
      <c r="O206" s="43"/>
      <c r="P206" s="43"/>
      <c r="Q206" s="43"/>
      <c r="R206" s="66" t="str">
        <f t="shared" si="11"/>
        <v>Power</v>
      </c>
      <c r="S206" s="65"/>
      <c r="T206" s="46" t="s">
        <v>357</v>
      </c>
      <c r="U206" s="66" t="str">
        <f>Images!$A$9</f>
        <v>Flame</v>
      </c>
      <c r="V206" s="65"/>
      <c r="W206" s="46" t="s">
        <v>358</v>
      </c>
      <c r="X206" s="70" t="str">
        <f t="array" ref="X206">IFERROR(INDEX('5.29 Recipe Matrix (Unsorted)'!$C$5:$P$18,MATCH(R206,'5.29 Recipe Matrix (Unsorted)'!$A$5:$A$18,0),MATCH(U206,'5.29 Recipe Matrix (Unsorted)'!$C$3:$P$3,0)),"")</f>
        <v>116 Currency</v>
      </c>
      <c r="Y206" s="65"/>
      <c r="Z206" s="43"/>
    </row>
    <row r="207" spans="1:26" ht="37.5" customHeight="1">
      <c r="A207" s="43"/>
      <c r="B207" s="66" t="str">
        <f ca="1">IFERROR(VLOOKUP(R207,Images!$A:$C,3,FALSE),R207)</f>
        <v>Power</v>
      </c>
      <c r="C207" s="65"/>
      <c r="D207" s="46" t="s">
        <v>357</v>
      </c>
      <c r="E207" s="66" t="str">
        <f ca="1">IFERROR(VLOOKUP(U207,Images!$A:$C,3,FALSE),"")</f>
        <v/>
      </c>
      <c r="F207" s="65"/>
      <c r="G207" s="46" t="s">
        <v>358</v>
      </c>
      <c r="H207" s="64" t="str">
        <f>IFERROR(VLOOKUP(X207,Images!$A:$C,3,FALSE),X207)</f>
        <v>Legendary Equipment (Blackened Visor)</v>
      </c>
      <c r="I207" s="65"/>
      <c r="J207" s="43"/>
      <c r="K207" s="43"/>
      <c r="L207" s="43"/>
      <c r="M207" s="43"/>
      <c r="N207" s="43"/>
      <c r="O207" s="43"/>
      <c r="P207" s="43"/>
      <c r="Q207" s="43"/>
      <c r="R207" s="66" t="str">
        <f t="shared" si="11"/>
        <v>Power</v>
      </c>
      <c r="S207" s="65"/>
      <c r="T207" s="46" t="s">
        <v>357</v>
      </c>
      <c r="U207" s="66" t="str">
        <f>Images!$A$10</f>
        <v>Steel</v>
      </c>
      <c r="V207" s="65"/>
      <c r="W207" s="46" t="s">
        <v>358</v>
      </c>
      <c r="X207" s="70" t="str">
        <f t="array" ref="X207">IFERROR(INDEX('5.29 Recipe Matrix (Unsorted)'!$C$5:$P$18,MATCH(R207,'5.29 Recipe Matrix (Unsorted)'!$A$5:$A$18,0),MATCH(U207,'5.29 Recipe Matrix (Unsorted)'!$C$3:$P$3,0)),"")</f>
        <v>Legendary Equipment (Blackened Visor)</v>
      </c>
      <c r="Y207" s="65"/>
      <c r="Z207" s="43"/>
    </row>
    <row r="208" spans="1:26" ht="37.5" customHeight="1">
      <c r="A208" s="43"/>
      <c r="B208" s="66" t="str">
        <f ca="1">IFERROR(VLOOKUP(R208,Images!$A:$C,3,FALSE),R208)</f>
        <v>Power</v>
      </c>
      <c r="C208" s="65"/>
      <c r="D208" s="46" t="s">
        <v>357</v>
      </c>
      <c r="E208" s="66" t="str">
        <f ca="1">IFERROR(VLOOKUP(U208,Images!$A:$C,3,FALSE),"")</f>
        <v/>
      </c>
      <c r="F208" s="65"/>
      <c r="G208" s="46" t="s">
        <v>358</v>
      </c>
      <c r="H208" s="64" t="str">
        <f>IFERROR(VLOOKUP(X208,Images!$A:$C,3,FALSE),X208)</f>
        <v>159 Currency</v>
      </c>
      <c r="I208" s="65"/>
      <c r="J208" s="43"/>
      <c r="K208" s="43"/>
      <c r="L208" s="43"/>
      <c r="M208" s="43"/>
      <c r="N208" s="43"/>
      <c r="O208" s="43"/>
      <c r="P208" s="43"/>
      <c r="Q208" s="43"/>
      <c r="R208" s="66" t="str">
        <f t="shared" si="11"/>
        <v>Power</v>
      </c>
      <c r="S208" s="65"/>
      <c r="T208" s="46" t="s">
        <v>357</v>
      </c>
      <c r="U208" s="66" t="str">
        <f>Images!$A$11</f>
        <v>Scale</v>
      </c>
      <c r="V208" s="65"/>
      <c r="W208" s="46" t="s">
        <v>358</v>
      </c>
      <c r="X208" s="70" t="str">
        <f t="array" ref="X208">IFERROR(INDEX('5.29 Recipe Matrix (Unsorted)'!$C$5:$P$18,MATCH(R208,'5.29 Recipe Matrix (Unsorted)'!$A$5:$A$18,0),MATCH(U208,'5.29 Recipe Matrix (Unsorted)'!$C$3:$P$3,0)),"")</f>
        <v>159 Currency</v>
      </c>
      <c r="Y208" s="65"/>
      <c r="Z208" s="43"/>
    </row>
    <row r="209" spans="1:26" ht="37.5" customHeight="1">
      <c r="A209" s="43"/>
      <c r="B209" s="66" t="str">
        <f ca="1">IFERROR(VLOOKUP(R209,Images!$A:$C,3,FALSE),R209)</f>
        <v>Power</v>
      </c>
      <c r="C209" s="65"/>
      <c r="D209" s="46" t="s">
        <v>357</v>
      </c>
      <c r="E209" s="66" t="str">
        <f ca="1">IFERROR(VLOOKUP(U209,Images!$A:$C,3,FALSE),"")</f>
        <v/>
      </c>
      <c r="F209" s="65"/>
      <c r="G209" s="46" t="s">
        <v>358</v>
      </c>
      <c r="H209" s="64" t="str">
        <f>IFERROR(VLOOKUP(X209,Images!$A:$C,3,FALSE),X209)</f>
        <v>137 Currency</v>
      </c>
      <c r="I209" s="65"/>
      <c r="J209" s="43"/>
      <c r="K209" s="43"/>
      <c r="L209" s="43"/>
      <c r="M209" s="43"/>
      <c r="N209" s="43"/>
      <c r="O209" s="43"/>
      <c r="P209" s="43"/>
      <c r="Q209" s="43"/>
      <c r="R209" s="66" t="str">
        <f t="shared" si="11"/>
        <v>Power</v>
      </c>
      <c r="S209" s="65"/>
      <c r="T209" s="46" t="s">
        <v>357</v>
      </c>
      <c r="U209" s="66" t="str">
        <f>Images!$A$12</f>
        <v>Essence</v>
      </c>
      <c r="V209" s="65"/>
      <c r="W209" s="46" t="s">
        <v>358</v>
      </c>
      <c r="X209" s="70" t="str">
        <f t="array" ref="X209">IFERROR(INDEX('5.29 Recipe Matrix (Unsorted)'!$C$5:$P$18,MATCH(R209,'5.29 Recipe Matrix (Unsorted)'!$A$5:$A$18,0),MATCH(U209,'5.29 Recipe Matrix (Unsorted)'!$C$3:$P$3,0)),"")</f>
        <v>137 Currency</v>
      </c>
      <c r="Y209" s="65"/>
      <c r="Z209" s="43"/>
    </row>
    <row r="210" spans="1:26" ht="37.5" customHeight="1">
      <c r="A210" s="43"/>
      <c r="B210" s="66" t="str">
        <f ca="1">IFERROR(VLOOKUP(R210,Images!$A:$C,3,FALSE),R210)</f>
        <v>Power</v>
      </c>
      <c r="C210" s="65"/>
      <c r="D210" s="46" t="s">
        <v>357</v>
      </c>
      <c r="E210" s="66" t="str">
        <f ca="1">IFERROR(VLOOKUP(U210,Images!$A:$C,3,FALSE),"")</f>
        <v/>
      </c>
      <c r="F210" s="65"/>
      <c r="G210" s="46" t="s">
        <v>358</v>
      </c>
      <c r="H210" s="64" t="str">
        <f>IFERROR(VLOOKUP(X210,Images!$A:$C,3,FALSE),X210)</f>
        <v>156 Currency</v>
      </c>
      <c r="I210" s="65"/>
      <c r="J210" s="43"/>
      <c r="K210" s="43"/>
      <c r="L210" s="43"/>
      <c r="M210" s="43"/>
      <c r="N210" s="43"/>
      <c r="O210" s="43"/>
      <c r="P210" s="43"/>
      <c r="Q210" s="43"/>
      <c r="R210" s="66" t="str">
        <f t="shared" si="11"/>
        <v>Power</v>
      </c>
      <c r="S210" s="65"/>
      <c r="T210" s="46" t="s">
        <v>357</v>
      </c>
      <c r="U210" s="66" t="str">
        <f>Images!$A$13</f>
        <v>Power</v>
      </c>
      <c r="V210" s="65"/>
      <c r="W210" s="46" t="s">
        <v>358</v>
      </c>
      <c r="X210" s="70" t="str">
        <f t="array" ref="X210">IFERROR(INDEX('5.29 Recipe Matrix (Unsorted)'!$C$5:$P$18,MATCH(R210,'5.29 Recipe Matrix (Unsorted)'!$A$5:$A$18,0),MATCH(U210,'5.29 Recipe Matrix (Unsorted)'!$C$3:$P$3,0)),"")</f>
        <v>156 Currency</v>
      </c>
      <c r="Y210" s="65"/>
      <c r="Z210" s="43"/>
    </row>
    <row r="211" spans="1:26" ht="37.5" customHeight="1">
      <c r="A211" s="43"/>
      <c r="B211" s="66" t="str">
        <f ca="1">IFERROR(VLOOKUP(R211,Images!$A:$C,3,FALSE),R211)</f>
        <v>Power</v>
      </c>
      <c r="C211" s="65"/>
      <c r="D211" s="46" t="s">
        <v>357</v>
      </c>
      <c r="E211" s="66" t="str">
        <f ca="1">IFERROR(VLOOKUP(U211,Images!$A:$C,3,FALSE),"")</f>
        <v/>
      </c>
      <c r="F211" s="65"/>
      <c r="G211" s="46" t="s">
        <v>358</v>
      </c>
      <c r="H211" s="64" t="str">
        <f>IFERROR(VLOOKUP(X211,Images!$A:$C,3,FALSE),X211)</f>
        <v/>
      </c>
      <c r="I211" s="65"/>
      <c r="J211" s="43"/>
      <c r="K211" s="43"/>
      <c r="L211" s="43"/>
      <c r="M211" s="43"/>
      <c r="N211" s="43"/>
      <c r="O211" s="43"/>
      <c r="P211" s="43"/>
      <c r="Q211" s="43"/>
      <c r="R211" s="66" t="str">
        <f t="shared" si="11"/>
        <v>Power</v>
      </c>
      <c r="S211" s="65"/>
      <c r="T211" s="46" t="s">
        <v>357</v>
      </c>
      <c r="U211" s="66" t="str">
        <f>Images!$A$14</f>
        <v>Shadow</v>
      </c>
      <c r="V211" s="65"/>
      <c r="W211" s="46" t="s">
        <v>358</v>
      </c>
      <c r="X211" s="70" t="str">
        <f t="array" ref="X211">IFERROR(INDEX('5.29 Recipe Matrix (Unsorted)'!$C$5:$P$18,MATCH(R211,'5.29 Recipe Matrix (Unsorted)'!$A$5:$A$18,0),MATCH(U211,'5.29 Recipe Matrix (Unsorted)'!$C$3:$P$3,0)),"")</f>
        <v/>
      </c>
      <c r="Y211" s="65"/>
      <c r="Z211" s="43"/>
    </row>
    <row r="212" spans="1:26" ht="37.5" customHeight="1">
      <c r="A212" s="43"/>
      <c r="B212" s="66" t="str">
        <f ca="1">IFERROR(VLOOKUP(R212,Images!$A:$C,3,FALSE),R212)</f>
        <v>Power</v>
      </c>
      <c r="C212" s="65"/>
      <c r="D212" s="46" t="s">
        <v>357</v>
      </c>
      <c r="E212" s="66" t="str">
        <f ca="1">IFERROR(VLOOKUP(U212,Images!$A:$C,3,FALSE),"")</f>
        <v/>
      </c>
      <c r="F212" s="65"/>
      <c r="G212" s="46" t="s">
        <v>358</v>
      </c>
      <c r="H212" s="64" t="str">
        <f>IFERROR(VLOOKUP(X212,Images!$A:$C,3,FALSE),X212)</f>
        <v/>
      </c>
      <c r="I212" s="65"/>
      <c r="J212" s="43"/>
      <c r="K212" s="43"/>
      <c r="L212" s="43"/>
      <c r="M212" s="43"/>
      <c r="N212" s="43"/>
      <c r="O212" s="43"/>
      <c r="P212" s="43"/>
      <c r="Q212" s="43"/>
      <c r="R212" s="66" t="str">
        <f t="shared" si="11"/>
        <v>Power</v>
      </c>
      <c r="S212" s="65"/>
      <c r="T212" s="46" t="s">
        <v>357</v>
      </c>
      <c r="U212" s="66" t="str">
        <f>Images!$A$15</f>
        <v>Spirit</v>
      </c>
      <c r="V212" s="65"/>
      <c r="W212" s="46" t="s">
        <v>358</v>
      </c>
      <c r="X212" s="70" t="str">
        <f t="array" ref="X212">IFERROR(INDEX('5.29 Recipe Matrix (Unsorted)'!$C$5:$P$18,MATCH(R212,'5.29 Recipe Matrix (Unsorted)'!$A$5:$A$18,0),MATCH(U212,'5.29 Recipe Matrix (Unsorted)'!$C$3:$P$3,0)),"")</f>
        <v/>
      </c>
      <c r="Y212" s="65"/>
      <c r="Z212" s="43"/>
    </row>
    <row r="213" spans="1:26" ht="37.5" customHeight="1">
      <c r="A213" s="43"/>
      <c r="B213" s="43"/>
      <c r="C213" s="43"/>
      <c r="D213" s="43"/>
      <c r="E213" s="43"/>
      <c r="F213" s="43"/>
      <c r="G213" s="43"/>
      <c r="H213" s="67" t="str">
        <f>HYPERLINK("https://docs.google.com/spreadsheets/d/1o95Ipwx6NIyFV3LCz9LGNbH9_WELHF-pbpkM31YwXyY/edit#gid=0&amp;range=A1","Back to Top")</f>
        <v>Back to Top</v>
      </c>
      <c r="I213" s="65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67" t="str">
        <f>HYPERLINK("https://docs.google.com/spreadsheets/d/1o95Ipwx6NIyFV3LCz9LGNbH9_WELHF-pbpkM31YwXyY/edit#gid=0&amp;range=A1","Back to Top")</f>
        <v>Back to Top</v>
      </c>
      <c r="Y213" s="65"/>
      <c r="Z213" s="43"/>
    </row>
    <row r="214" spans="1:26" ht="37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37.5" customHeight="1">
      <c r="A215" s="43"/>
      <c r="B215" s="68" t="str">
        <f>R215</f>
        <v>Shadow Recipes</v>
      </c>
      <c r="C215" s="69"/>
      <c r="D215" s="69"/>
      <c r="E215" s="69"/>
      <c r="F215" s="69"/>
      <c r="G215" s="69"/>
      <c r="H215" s="69"/>
      <c r="I215" s="65"/>
      <c r="J215" s="43"/>
      <c r="K215" s="43"/>
      <c r="L215" s="43"/>
      <c r="M215" s="43"/>
      <c r="N215" s="43"/>
      <c r="O215" s="43"/>
      <c r="P215" s="43"/>
      <c r="Q215" s="43"/>
      <c r="R215" s="68" t="str">
        <f>R216 &amp; " Recipes"</f>
        <v>Shadow Recipes</v>
      </c>
      <c r="S215" s="69"/>
      <c r="T215" s="69"/>
      <c r="U215" s="69"/>
      <c r="V215" s="69"/>
      <c r="W215" s="69"/>
      <c r="X215" s="69"/>
      <c r="Y215" s="65"/>
      <c r="Z215" s="43"/>
    </row>
    <row r="216" spans="1:26" ht="37.5" customHeight="1">
      <c r="A216" s="43"/>
      <c r="B216" s="66" t="str">
        <f ca="1">IFERROR(VLOOKUP(R216,Images!$A:$C,3,FALSE),R216)</f>
        <v>Shadow</v>
      </c>
      <c r="C216" s="65"/>
      <c r="D216" s="46" t="s">
        <v>357</v>
      </c>
      <c r="E216" s="66" t="str">
        <f ca="1">IFERROR(VLOOKUP(U216,Images!$A:$C,3,FALSE),"")</f>
        <v/>
      </c>
      <c r="F216" s="65"/>
      <c r="G216" s="46" t="s">
        <v>358</v>
      </c>
      <c r="H216" s="64" t="str">
        <f>IFERROR(VLOOKUP(X216,Images!$A:$C,3,FALSE),X216)</f>
        <v/>
      </c>
      <c r="I216" s="65"/>
      <c r="J216" s="43"/>
      <c r="K216" s="43"/>
      <c r="L216" s="43"/>
      <c r="M216" s="43"/>
      <c r="N216" s="43"/>
      <c r="O216" s="43"/>
      <c r="P216" s="43"/>
      <c r="Q216" s="43"/>
      <c r="R216" s="66" t="str">
        <f>Images!$A$14</f>
        <v>Shadow</v>
      </c>
      <c r="S216" s="65"/>
      <c r="T216" s="46" t="s">
        <v>357</v>
      </c>
      <c r="U216" s="66" t="str">
        <f>Images!$A$2</f>
        <v>Leaf</v>
      </c>
      <c r="V216" s="65"/>
      <c r="W216" s="46" t="s">
        <v>358</v>
      </c>
      <c r="X216" s="70" t="str">
        <f t="array" ref="X216">IFERROR(INDEX('5.29 Recipe Matrix (Unsorted)'!$C$5:$P$18,MATCH(R216,'5.29 Recipe Matrix (Unsorted)'!$A$5:$A$18,0),MATCH(U216,'5.29 Recipe Matrix (Unsorted)'!$C$3:$P$3,0)),"")</f>
        <v/>
      </c>
      <c r="Y216" s="65"/>
      <c r="Z216" s="43"/>
    </row>
    <row r="217" spans="1:26" ht="37.5" customHeight="1">
      <c r="A217" s="43"/>
      <c r="B217" s="66" t="str">
        <f ca="1">IFERROR(VLOOKUP(R217,Images!$A:$C,3,FALSE),R217)</f>
        <v>Shadow</v>
      </c>
      <c r="C217" s="65"/>
      <c r="D217" s="46" t="s">
        <v>357</v>
      </c>
      <c r="E217" s="66" t="str">
        <f ca="1">IFERROR(VLOOKUP(U217,Images!$A:$C,3,FALSE),"")</f>
        <v/>
      </c>
      <c r="F217" s="65"/>
      <c r="G217" s="46" t="s">
        <v>358</v>
      </c>
      <c r="H217" s="64" t="str">
        <f>IFERROR(VLOOKUP(X217,Images!$A:$C,3,FALSE),X217)</f>
        <v/>
      </c>
      <c r="I217" s="65"/>
      <c r="J217" s="43"/>
      <c r="K217" s="43"/>
      <c r="L217" s="43"/>
      <c r="M217" s="43"/>
      <c r="N217" s="43"/>
      <c r="O217" s="43"/>
      <c r="P217" s="43"/>
      <c r="Q217" s="43"/>
      <c r="R217" s="66" t="str">
        <f t="shared" ref="R217:R229" si="12">R216</f>
        <v>Shadow</v>
      </c>
      <c r="S217" s="65"/>
      <c r="T217" s="46" t="s">
        <v>357</v>
      </c>
      <c r="U217" s="66" t="str">
        <f>Images!$A$3</f>
        <v>Sand</v>
      </c>
      <c r="V217" s="65"/>
      <c r="W217" s="46" t="s">
        <v>358</v>
      </c>
      <c r="X217" s="70" t="str">
        <f t="array" ref="X217">IFERROR(INDEX('5.29 Recipe Matrix (Unsorted)'!$C$5:$P$18,MATCH(R217,'5.29 Recipe Matrix (Unsorted)'!$A$5:$A$18,0),MATCH(U217,'5.29 Recipe Matrix (Unsorted)'!$C$3:$P$3,0)),"")</f>
        <v/>
      </c>
      <c r="Y217" s="65"/>
      <c r="Z217" s="43"/>
    </row>
    <row r="218" spans="1:26" ht="37.5" customHeight="1">
      <c r="A218" s="43"/>
      <c r="B218" s="66" t="str">
        <f ca="1">IFERROR(VLOOKUP(R218,Images!$A:$C,3,FALSE),R218)</f>
        <v>Shadow</v>
      </c>
      <c r="C218" s="65"/>
      <c r="D218" s="46" t="s">
        <v>357</v>
      </c>
      <c r="E218" s="66" t="str">
        <f ca="1">IFERROR(VLOOKUP(U218,Images!$A:$C,3,FALSE),"")</f>
        <v/>
      </c>
      <c r="F218" s="65"/>
      <c r="G218" s="46" t="s">
        <v>358</v>
      </c>
      <c r="H218" s="64" t="str">
        <f>IFERROR(VLOOKUP(X218,Images!$A:$C,3,FALSE),X218)</f>
        <v/>
      </c>
      <c r="I218" s="65"/>
      <c r="J218" s="43"/>
      <c r="K218" s="43"/>
      <c r="L218" s="43"/>
      <c r="M218" s="43"/>
      <c r="N218" s="43"/>
      <c r="O218" s="43"/>
      <c r="P218" s="43"/>
      <c r="Q218" s="43"/>
      <c r="R218" s="66" t="str">
        <f t="shared" si="12"/>
        <v>Shadow</v>
      </c>
      <c r="S218" s="65"/>
      <c r="T218" s="46" t="s">
        <v>357</v>
      </c>
      <c r="U218" s="66" t="str">
        <f>Images!$A$4</f>
        <v>Water</v>
      </c>
      <c r="V218" s="65"/>
      <c r="W218" s="46" t="s">
        <v>358</v>
      </c>
      <c r="X218" s="70" t="str">
        <f t="array" ref="X218">IFERROR(INDEX('5.29 Recipe Matrix (Unsorted)'!$C$5:$P$18,MATCH(R218,'5.29 Recipe Matrix (Unsorted)'!$A$5:$A$18,0),MATCH(U218,'5.29 Recipe Matrix (Unsorted)'!$C$3:$P$3,0)),"")</f>
        <v/>
      </c>
      <c r="Y218" s="65"/>
      <c r="Z218" s="43"/>
    </row>
    <row r="219" spans="1:26" ht="37.5" customHeight="1">
      <c r="A219" s="43"/>
      <c r="B219" s="66" t="str">
        <f ca="1">IFERROR(VLOOKUP(R219,Images!$A:$C,3,FALSE),R219)</f>
        <v>Shadow</v>
      </c>
      <c r="C219" s="65"/>
      <c r="D219" s="46" t="s">
        <v>357</v>
      </c>
      <c r="E219" s="66" t="str">
        <f ca="1">IFERROR(VLOOKUP(U219,Images!$A:$C,3,FALSE),"")</f>
        <v/>
      </c>
      <c r="F219" s="65"/>
      <c r="G219" s="46" t="s">
        <v>358</v>
      </c>
      <c r="H219" s="64" t="str">
        <f>IFERROR(VLOOKUP(X219,Images!$A:$C,3,FALSE),X219)</f>
        <v/>
      </c>
      <c r="I219" s="65"/>
      <c r="J219" s="43"/>
      <c r="K219" s="43"/>
      <c r="L219" s="43"/>
      <c r="M219" s="43"/>
      <c r="N219" s="43"/>
      <c r="O219" s="43"/>
      <c r="P219" s="43"/>
      <c r="Q219" s="43"/>
      <c r="R219" s="66" t="str">
        <f t="shared" si="12"/>
        <v>Shadow</v>
      </c>
      <c r="S219" s="65"/>
      <c r="T219" s="46" t="s">
        <v>357</v>
      </c>
      <c r="U219" s="66" t="str">
        <f>Images!$A$5</f>
        <v>Lightning</v>
      </c>
      <c r="V219" s="65"/>
      <c r="W219" s="46" t="s">
        <v>358</v>
      </c>
      <c r="X219" s="70" t="str">
        <f t="array" ref="X219">IFERROR(INDEX('5.29 Recipe Matrix (Unsorted)'!$C$5:$P$18,MATCH(R219,'5.29 Recipe Matrix (Unsorted)'!$A$5:$A$18,0),MATCH(U219,'5.29 Recipe Matrix (Unsorted)'!$C$3:$P$3,0)),"")</f>
        <v/>
      </c>
      <c r="Y219" s="65"/>
      <c r="Z219" s="43"/>
    </row>
    <row r="220" spans="1:26" ht="37.5" customHeight="1">
      <c r="A220" s="43"/>
      <c r="B220" s="66" t="str">
        <f ca="1">IFERROR(VLOOKUP(R220,Images!$A:$C,3,FALSE),R220)</f>
        <v>Shadow</v>
      </c>
      <c r="C220" s="65"/>
      <c r="D220" s="46" t="s">
        <v>357</v>
      </c>
      <c r="E220" s="66" t="str">
        <f ca="1">IFERROR(VLOOKUP(U220,Images!$A:$C,3,FALSE),"")</f>
        <v/>
      </c>
      <c r="F220" s="65"/>
      <c r="G220" s="46" t="s">
        <v>358</v>
      </c>
      <c r="H220" s="64" t="str">
        <f>IFERROR(VLOOKUP(X220,Images!$A:$C,3,FALSE),X220)</f>
        <v/>
      </c>
      <c r="I220" s="65"/>
      <c r="J220" s="43"/>
      <c r="K220" s="43"/>
      <c r="L220" s="43"/>
      <c r="M220" s="43"/>
      <c r="N220" s="43"/>
      <c r="O220" s="43"/>
      <c r="P220" s="43"/>
      <c r="Q220" s="43"/>
      <c r="R220" s="66" t="str">
        <f t="shared" si="12"/>
        <v>Shadow</v>
      </c>
      <c r="S220" s="65"/>
      <c r="T220" s="46" t="s">
        <v>357</v>
      </c>
      <c r="U220" s="66" t="str">
        <f>Images!$A$6</f>
        <v>Poison</v>
      </c>
      <c r="V220" s="65"/>
      <c r="W220" s="46" t="s">
        <v>358</v>
      </c>
      <c r="X220" s="70" t="str">
        <f t="array" ref="X220">IFERROR(INDEX('5.29 Recipe Matrix (Unsorted)'!$C$5:$P$18,MATCH(R220,'5.29 Recipe Matrix (Unsorted)'!$A$5:$A$18,0),MATCH(U220,'5.29 Recipe Matrix (Unsorted)'!$C$3:$P$3,0)),"")</f>
        <v/>
      </c>
      <c r="Y220" s="65"/>
      <c r="Z220" s="43"/>
    </row>
    <row r="221" spans="1:26" ht="37.5" customHeight="1">
      <c r="A221" s="43"/>
      <c r="B221" s="66" t="str">
        <f ca="1">IFERROR(VLOOKUP(R221,Images!$A:$C,3,FALSE),R221)</f>
        <v>Shadow</v>
      </c>
      <c r="C221" s="65"/>
      <c r="D221" s="46" t="s">
        <v>357</v>
      </c>
      <c r="E221" s="66" t="str">
        <f ca="1">IFERROR(VLOOKUP(U221,Images!$A:$C,3,FALSE),"")</f>
        <v/>
      </c>
      <c r="F221" s="65"/>
      <c r="G221" s="46" t="s">
        <v>358</v>
      </c>
      <c r="H221" s="64" t="str">
        <f>IFERROR(VLOOKUP(X221,Images!$A:$C,3,FALSE),X221)</f>
        <v/>
      </c>
      <c r="I221" s="65"/>
      <c r="J221" s="43"/>
      <c r="K221" s="43"/>
      <c r="L221" s="43"/>
      <c r="M221" s="43"/>
      <c r="N221" s="43"/>
      <c r="O221" s="43"/>
      <c r="P221" s="43"/>
      <c r="Q221" s="43"/>
      <c r="R221" s="66" t="str">
        <f t="shared" si="12"/>
        <v>Shadow</v>
      </c>
      <c r="S221" s="65"/>
      <c r="T221" s="46" t="s">
        <v>357</v>
      </c>
      <c r="U221" s="66" t="str">
        <f>Images!$A$7</f>
        <v>Beetle</v>
      </c>
      <c r="V221" s="65"/>
      <c r="W221" s="46" t="s">
        <v>358</v>
      </c>
      <c r="X221" s="70" t="str">
        <f t="array" ref="X221">IFERROR(INDEX('5.29 Recipe Matrix (Unsorted)'!$C$5:$P$18,MATCH(R221,'5.29 Recipe Matrix (Unsorted)'!$A$5:$A$18,0),MATCH(U221,'5.29 Recipe Matrix (Unsorted)'!$C$3:$P$3,0)),"")</f>
        <v/>
      </c>
      <c r="Y221" s="65"/>
      <c r="Z221" s="43"/>
    </row>
    <row r="222" spans="1:26" ht="37.5" customHeight="1">
      <c r="A222" s="43"/>
      <c r="B222" s="66" t="str">
        <f ca="1">IFERROR(VLOOKUP(R222,Images!$A:$C,3,FALSE),R222)</f>
        <v>Shadow</v>
      </c>
      <c r="C222" s="65"/>
      <c r="D222" s="46" t="s">
        <v>357</v>
      </c>
      <c r="E222" s="66" t="str">
        <f ca="1">IFERROR(VLOOKUP(U222,Images!$A:$C,3,FALSE),"")</f>
        <v/>
      </c>
      <c r="F222" s="65"/>
      <c r="G222" s="46" t="s">
        <v>358</v>
      </c>
      <c r="H222" s="64" t="str">
        <f>IFERROR(VLOOKUP(X222,Images!$A:$C,3,FALSE),X222)</f>
        <v/>
      </c>
      <c r="I222" s="65"/>
      <c r="J222" s="43"/>
      <c r="K222" s="43"/>
      <c r="L222" s="43"/>
      <c r="M222" s="43"/>
      <c r="N222" s="43"/>
      <c r="O222" s="43"/>
      <c r="P222" s="43"/>
      <c r="Q222" s="43"/>
      <c r="R222" s="66" t="str">
        <f t="shared" si="12"/>
        <v>Shadow</v>
      </c>
      <c r="S222" s="65"/>
      <c r="T222" s="46" t="s">
        <v>357</v>
      </c>
      <c r="U222" s="66" t="str">
        <f>Images!$A$8</f>
        <v>Tooth</v>
      </c>
      <c r="V222" s="65"/>
      <c r="W222" s="46" t="s">
        <v>358</v>
      </c>
      <c r="X222" s="70" t="str">
        <f t="array" ref="X222">IFERROR(INDEX('5.29 Recipe Matrix (Unsorted)'!$C$5:$P$18,MATCH(R222,'5.29 Recipe Matrix (Unsorted)'!$A$5:$A$18,0),MATCH(U222,'5.29 Recipe Matrix (Unsorted)'!$C$3:$P$3,0)),"")</f>
        <v/>
      </c>
      <c r="Y222" s="65"/>
      <c r="Z222" s="43"/>
    </row>
    <row r="223" spans="1:26" ht="37.5" customHeight="1">
      <c r="A223" s="43"/>
      <c r="B223" s="66" t="str">
        <f ca="1">IFERROR(VLOOKUP(R223,Images!$A:$C,3,FALSE),R223)</f>
        <v>Shadow</v>
      </c>
      <c r="C223" s="65"/>
      <c r="D223" s="46" t="s">
        <v>357</v>
      </c>
      <c r="E223" s="66" t="str">
        <f ca="1">IFERROR(VLOOKUP(U223,Images!$A:$C,3,FALSE),"")</f>
        <v/>
      </c>
      <c r="F223" s="65"/>
      <c r="G223" s="46" t="s">
        <v>358</v>
      </c>
      <c r="H223" s="64" t="str">
        <f>IFERROR(VLOOKUP(X223,Images!$A:$C,3,FALSE),X223)</f>
        <v/>
      </c>
      <c r="I223" s="65"/>
      <c r="J223" s="43"/>
      <c r="K223" s="43"/>
      <c r="L223" s="43"/>
      <c r="M223" s="43"/>
      <c r="N223" s="43"/>
      <c r="O223" s="43"/>
      <c r="P223" s="43"/>
      <c r="Q223" s="43"/>
      <c r="R223" s="66" t="str">
        <f t="shared" si="12"/>
        <v>Shadow</v>
      </c>
      <c r="S223" s="65"/>
      <c r="T223" s="46" t="s">
        <v>357</v>
      </c>
      <c r="U223" s="66" t="str">
        <f>Images!$A$9</f>
        <v>Flame</v>
      </c>
      <c r="V223" s="65"/>
      <c r="W223" s="46" t="s">
        <v>358</v>
      </c>
      <c r="X223" s="70" t="str">
        <f t="array" ref="X223">IFERROR(INDEX('5.29 Recipe Matrix (Unsorted)'!$C$5:$P$18,MATCH(R223,'5.29 Recipe Matrix (Unsorted)'!$A$5:$A$18,0),MATCH(U223,'5.29 Recipe Matrix (Unsorted)'!$C$3:$P$3,0)),"")</f>
        <v/>
      </c>
      <c r="Y223" s="65"/>
      <c r="Z223" s="43"/>
    </row>
    <row r="224" spans="1:26" ht="37.5" customHeight="1">
      <c r="A224" s="43"/>
      <c r="B224" s="66" t="str">
        <f ca="1">IFERROR(VLOOKUP(R224,Images!$A:$C,3,FALSE),R224)</f>
        <v>Shadow</v>
      </c>
      <c r="C224" s="65"/>
      <c r="D224" s="46" t="s">
        <v>357</v>
      </c>
      <c r="E224" s="66" t="str">
        <f ca="1">IFERROR(VLOOKUP(U224,Images!$A:$C,3,FALSE),"")</f>
        <v/>
      </c>
      <c r="F224" s="65"/>
      <c r="G224" s="46" t="s">
        <v>358</v>
      </c>
      <c r="H224" s="64" t="str">
        <f>IFERROR(VLOOKUP(X224,Images!$A:$C,3,FALSE),X224)</f>
        <v/>
      </c>
      <c r="I224" s="65"/>
      <c r="J224" s="43"/>
      <c r="K224" s="43"/>
      <c r="L224" s="43"/>
      <c r="M224" s="43"/>
      <c r="N224" s="43"/>
      <c r="O224" s="43"/>
      <c r="P224" s="43"/>
      <c r="Q224" s="43"/>
      <c r="R224" s="66" t="str">
        <f t="shared" si="12"/>
        <v>Shadow</v>
      </c>
      <c r="S224" s="65"/>
      <c r="T224" s="46" t="s">
        <v>357</v>
      </c>
      <c r="U224" s="66" t="str">
        <f>Images!$A$10</f>
        <v>Steel</v>
      </c>
      <c r="V224" s="65"/>
      <c r="W224" s="46" t="s">
        <v>358</v>
      </c>
      <c r="X224" s="70" t="str">
        <f t="array" ref="X224">IFERROR(INDEX('5.29 Recipe Matrix (Unsorted)'!$C$5:$P$18,MATCH(R224,'5.29 Recipe Matrix (Unsorted)'!$A$5:$A$18,0),MATCH(U224,'5.29 Recipe Matrix (Unsorted)'!$C$3:$P$3,0)),"")</f>
        <v/>
      </c>
      <c r="Y224" s="65"/>
      <c r="Z224" s="43"/>
    </row>
    <row r="225" spans="1:26" ht="37.5" customHeight="1">
      <c r="A225" s="43"/>
      <c r="B225" s="66" t="str">
        <f ca="1">IFERROR(VLOOKUP(R225,Images!$A:$C,3,FALSE),R225)</f>
        <v>Shadow</v>
      </c>
      <c r="C225" s="65"/>
      <c r="D225" s="46" t="s">
        <v>357</v>
      </c>
      <c r="E225" s="66" t="str">
        <f ca="1">IFERROR(VLOOKUP(U208,Images!$A:$C,3,FALSE),"")</f>
        <v/>
      </c>
      <c r="F225" s="65"/>
      <c r="G225" s="46" t="s">
        <v>358</v>
      </c>
      <c r="H225" s="64" t="str">
        <f>IFERROR(VLOOKUP(X225,Images!$A:$C,3,FALSE),X225)</f>
        <v/>
      </c>
      <c r="I225" s="65"/>
      <c r="J225" s="43"/>
      <c r="K225" s="43"/>
      <c r="L225" s="43"/>
      <c r="M225" s="43"/>
      <c r="N225" s="43"/>
      <c r="O225" s="43"/>
      <c r="P225" s="43"/>
      <c r="Q225" s="43"/>
      <c r="R225" s="66" t="str">
        <f t="shared" si="12"/>
        <v>Shadow</v>
      </c>
      <c r="S225" s="65"/>
      <c r="T225" s="46" t="s">
        <v>357</v>
      </c>
      <c r="U225" s="66" t="str">
        <f>Images!$A$11</f>
        <v>Scale</v>
      </c>
      <c r="V225" s="65"/>
      <c r="W225" s="46" t="s">
        <v>358</v>
      </c>
      <c r="X225" s="70" t="str">
        <f t="array" ref="X225">IFERROR(INDEX('5.29 Recipe Matrix (Unsorted)'!$C$5:$P$18,MATCH(R225,'5.29 Recipe Matrix (Unsorted)'!$A$5:$A$18,0),MATCH(U225,'5.29 Recipe Matrix (Unsorted)'!$C$3:$P$3,0)),"")</f>
        <v/>
      </c>
      <c r="Y225" s="65"/>
      <c r="Z225" s="43"/>
    </row>
    <row r="226" spans="1:26" ht="37.5" customHeight="1">
      <c r="A226" s="43"/>
      <c r="B226" s="66" t="str">
        <f ca="1">IFERROR(VLOOKUP(R226,Images!$A:$C,3,FALSE),R226)</f>
        <v>Shadow</v>
      </c>
      <c r="C226" s="65"/>
      <c r="D226" s="46" t="s">
        <v>357</v>
      </c>
      <c r="E226" s="66" t="str">
        <f ca="1">IFERROR(VLOOKUP(U226,Images!$A:$C,3,FALSE),"")</f>
        <v/>
      </c>
      <c r="F226" s="65"/>
      <c r="G226" s="46" t="s">
        <v>358</v>
      </c>
      <c r="H226" s="64" t="str">
        <f>IFERROR(VLOOKUP(X226,Images!$A:$C,3,FALSE),X226)</f>
        <v/>
      </c>
      <c r="I226" s="65"/>
      <c r="J226" s="43"/>
      <c r="K226" s="43"/>
      <c r="L226" s="43"/>
      <c r="M226" s="43"/>
      <c r="N226" s="43"/>
      <c r="O226" s="43"/>
      <c r="P226" s="43"/>
      <c r="Q226" s="43"/>
      <c r="R226" s="66" t="str">
        <f t="shared" si="12"/>
        <v>Shadow</v>
      </c>
      <c r="S226" s="65"/>
      <c r="T226" s="46" t="s">
        <v>357</v>
      </c>
      <c r="U226" s="66" t="str">
        <f>Images!$A$12</f>
        <v>Essence</v>
      </c>
      <c r="V226" s="65"/>
      <c r="W226" s="46" t="s">
        <v>358</v>
      </c>
      <c r="X226" s="70" t="str">
        <f t="array" ref="X226">IFERROR(INDEX('5.29 Recipe Matrix (Unsorted)'!$C$5:$P$18,MATCH(R226,'5.29 Recipe Matrix (Unsorted)'!$A$5:$A$18,0),MATCH(U226,'5.29 Recipe Matrix (Unsorted)'!$C$3:$P$3,0)),"")</f>
        <v/>
      </c>
      <c r="Y226" s="65"/>
      <c r="Z226" s="43"/>
    </row>
    <row r="227" spans="1:26" ht="37.5" customHeight="1">
      <c r="A227" s="43"/>
      <c r="B227" s="66" t="str">
        <f ca="1">IFERROR(VLOOKUP(R227,Images!$A:$C,3,FALSE),R227)</f>
        <v>Shadow</v>
      </c>
      <c r="C227" s="65"/>
      <c r="D227" s="46" t="s">
        <v>357</v>
      </c>
      <c r="E227" s="66" t="str">
        <f ca="1">IFERROR(VLOOKUP(U227,Images!$A:$C,3,FALSE),"")</f>
        <v/>
      </c>
      <c r="F227" s="65"/>
      <c r="G227" s="46" t="s">
        <v>358</v>
      </c>
      <c r="H227" s="64" t="str">
        <f>IFERROR(VLOOKUP(X227,Images!$A:$C,3,FALSE),X227)</f>
        <v/>
      </c>
      <c r="I227" s="65"/>
      <c r="J227" s="43"/>
      <c r="K227" s="43"/>
      <c r="L227" s="43"/>
      <c r="M227" s="43"/>
      <c r="N227" s="43"/>
      <c r="O227" s="43"/>
      <c r="P227" s="43"/>
      <c r="Q227" s="43"/>
      <c r="R227" s="66" t="str">
        <f t="shared" si="12"/>
        <v>Shadow</v>
      </c>
      <c r="S227" s="65"/>
      <c r="T227" s="46" t="s">
        <v>357</v>
      </c>
      <c r="U227" s="66" t="str">
        <f>Images!$A$13</f>
        <v>Power</v>
      </c>
      <c r="V227" s="65"/>
      <c r="W227" s="46" t="s">
        <v>358</v>
      </c>
      <c r="X227" s="70" t="str">
        <f t="array" ref="X227">IFERROR(INDEX('5.29 Recipe Matrix (Unsorted)'!$C$5:$P$18,MATCH(R227,'5.29 Recipe Matrix (Unsorted)'!$A$5:$A$18,0),MATCH(U227,'5.29 Recipe Matrix (Unsorted)'!$C$3:$P$3,0)),"")</f>
        <v/>
      </c>
      <c r="Y227" s="65"/>
      <c r="Z227" s="43"/>
    </row>
    <row r="228" spans="1:26" ht="37.5" customHeight="1">
      <c r="A228" s="43"/>
      <c r="B228" s="66" t="str">
        <f ca="1">IFERROR(VLOOKUP(R228,Images!$A:$C,3,FALSE),R228)</f>
        <v>Shadow</v>
      </c>
      <c r="C228" s="65"/>
      <c r="D228" s="46" t="s">
        <v>357</v>
      </c>
      <c r="E228" s="66" t="str">
        <f ca="1">IFERROR(VLOOKUP(U228,Images!$A:$C,3,FALSE),"")</f>
        <v/>
      </c>
      <c r="F228" s="65"/>
      <c r="G228" s="46" t="s">
        <v>358</v>
      </c>
      <c r="H228" s="64" t="str">
        <f>IFERROR(VLOOKUP(X228,Images!$A:$C,3,FALSE),X228)</f>
        <v/>
      </c>
      <c r="I228" s="65"/>
      <c r="J228" s="43"/>
      <c r="K228" s="43"/>
      <c r="L228" s="43"/>
      <c r="M228" s="43"/>
      <c r="N228" s="43"/>
      <c r="O228" s="43"/>
      <c r="P228" s="43"/>
      <c r="Q228" s="43"/>
      <c r="R228" s="66" t="str">
        <f t="shared" si="12"/>
        <v>Shadow</v>
      </c>
      <c r="S228" s="65"/>
      <c r="T228" s="46" t="s">
        <v>357</v>
      </c>
      <c r="U228" s="66" t="str">
        <f>Images!$A$14</f>
        <v>Shadow</v>
      </c>
      <c r="V228" s="65"/>
      <c r="W228" s="46" t="s">
        <v>358</v>
      </c>
      <c r="X228" s="70" t="str">
        <f t="array" ref="X228">IFERROR(INDEX('5.29 Recipe Matrix (Unsorted)'!$C$5:$P$18,MATCH(R228,'5.29 Recipe Matrix (Unsorted)'!$A$5:$A$18,0),MATCH(U228,'5.29 Recipe Matrix (Unsorted)'!$C$3:$P$3,0)),"")</f>
        <v/>
      </c>
      <c r="Y228" s="65"/>
      <c r="Z228" s="43"/>
    </row>
    <row r="229" spans="1:26" ht="37.5" customHeight="1">
      <c r="A229" s="43"/>
      <c r="B229" s="66" t="str">
        <f ca="1">IFERROR(VLOOKUP(R229,Images!$A:$C,3,FALSE),R229)</f>
        <v>Shadow</v>
      </c>
      <c r="C229" s="65"/>
      <c r="D229" s="46" t="s">
        <v>357</v>
      </c>
      <c r="E229" s="66" t="str">
        <f ca="1">IFERROR(VLOOKUP(U229,Images!$A:$C,3,FALSE),"")</f>
        <v/>
      </c>
      <c r="F229" s="65"/>
      <c r="G229" s="46" t="s">
        <v>358</v>
      </c>
      <c r="H229" s="64" t="str">
        <f>IFERROR(VLOOKUP(X229,Images!$A:$C,3,FALSE),X229)</f>
        <v/>
      </c>
      <c r="I229" s="65"/>
      <c r="J229" s="43"/>
      <c r="K229" s="43"/>
      <c r="L229" s="43"/>
      <c r="M229" s="43"/>
      <c r="N229" s="43"/>
      <c r="O229" s="43"/>
      <c r="P229" s="43"/>
      <c r="Q229" s="43"/>
      <c r="R229" s="66" t="str">
        <f t="shared" si="12"/>
        <v>Shadow</v>
      </c>
      <c r="S229" s="65"/>
      <c r="T229" s="46" t="s">
        <v>357</v>
      </c>
      <c r="U229" s="66" t="str">
        <f>Images!$A$15</f>
        <v>Spirit</v>
      </c>
      <c r="V229" s="65"/>
      <c r="W229" s="46" t="s">
        <v>358</v>
      </c>
      <c r="X229" s="70" t="str">
        <f t="array" ref="X229">IFERROR(INDEX('5.29 Recipe Matrix (Unsorted)'!$C$5:$P$18,MATCH(R229,'5.29 Recipe Matrix (Unsorted)'!$A$5:$A$18,0),MATCH(U229,'5.29 Recipe Matrix (Unsorted)'!$C$3:$P$3,0)),"")</f>
        <v/>
      </c>
      <c r="Y229" s="65"/>
      <c r="Z229" s="43"/>
    </row>
    <row r="230" spans="1:26" ht="37.5" customHeight="1">
      <c r="A230" s="43"/>
      <c r="B230" s="43"/>
      <c r="C230" s="43"/>
      <c r="D230" s="43"/>
      <c r="E230" s="43"/>
      <c r="F230" s="43"/>
      <c r="G230" s="43"/>
      <c r="H230" s="67" t="str">
        <f>HYPERLINK("https://docs.google.com/spreadsheets/d/1o95Ipwx6NIyFV3LCz9LGNbH9_WELHF-pbpkM31YwXyY/edit#gid=0&amp;range=A1","Back to Top")</f>
        <v>Back to Top</v>
      </c>
      <c r="I230" s="65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67" t="str">
        <f>HYPERLINK("https://docs.google.com/spreadsheets/d/1o95Ipwx6NIyFV3LCz9LGNbH9_WELHF-pbpkM31YwXyY/edit#gid=0&amp;range=A1","Back to Top")</f>
        <v>Back to Top</v>
      </c>
      <c r="Y230" s="65"/>
      <c r="Z230" s="43"/>
    </row>
    <row r="231" spans="1:26" ht="37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37.5" customHeight="1">
      <c r="A232" s="43"/>
      <c r="B232" s="68" t="str">
        <f>R232</f>
        <v>Spirit Recipes</v>
      </c>
      <c r="C232" s="69"/>
      <c r="D232" s="69"/>
      <c r="E232" s="69"/>
      <c r="F232" s="69"/>
      <c r="G232" s="69"/>
      <c r="H232" s="69"/>
      <c r="I232" s="65"/>
      <c r="J232" s="43"/>
      <c r="K232" s="43"/>
      <c r="L232" s="43"/>
      <c r="M232" s="43"/>
      <c r="N232" s="43"/>
      <c r="O232" s="43"/>
      <c r="P232" s="43"/>
      <c r="Q232" s="43"/>
      <c r="R232" s="68" t="str">
        <f>R233 &amp; " Recipes"</f>
        <v>Spirit Recipes</v>
      </c>
      <c r="S232" s="69"/>
      <c r="T232" s="69"/>
      <c r="U232" s="69"/>
      <c r="V232" s="69"/>
      <c r="W232" s="69"/>
      <c r="X232" s="69"/>
      <c r="Y232" s="65"/>
      <c r="Z232" s="43"/>
    </row>
    <row r="233" spans="1:26" ht="37.5" customHeight="1">
      <c r="A233" s="43"/>
      <c r="B233" s="66" t="str">
        <f ca="1">IFERROR(VLOOKUP(R233,Images!$A:$C,3,FALSE),R233)</f>
        <v>Spirit</v>
      </c>
      <c r="C233" s="65"/>
      <c r="D233" s="46" t="s">
        <v>357</v>
      </c>
      <c r="E233" s="66" t="str">
        <f ca="1">IFERROR(VLOOKUP(U233,Images!$A:$C,3,FALSE),"")</f>
        <v/>
      </c>
      <c r="F233" s="65"/>
      <c r="G233" s="46" t="s">
        <v>358</v>
      </c>
      <c r="H233" s="64" t="str">
        <f>IFERROR(VLOOKUP(X233,Images!$A:$C,3,FALSE),X233)</f>
        <v/>
      </c>
      <c r="I233" s="65"/>
      <c r="J233" s="43"/>
      <c r="K233" s="43"/>
      <c r="L233" s="43"/>
      <c r="M233" s="43"/>
      <c r="N233" s="43"/>
      <c r="O233" s="43"/>
      <c r="P233" s="43"/>
      <c r="Q233" s="43"/>
      <c r="R233" s="66" t="str">
        <f>Images!$A$15</f>
        <v>Spirit</v>
      </c>
      <c r="S233" s="65"/>
      <c r="T233" s="46" t="s">
        <v>357</v>
      </c>
      <c r="U233" s="66" t="str">
        <f>Images!$A$2</f>
        <v>Leaf</v>
      </c>
      <c r="V233" s="65"/>
      <c r="W233" s="46" t="s">
        <v>358</v>
      </c>
      <c r="X233" s="70" t="str">
        <f t="array" ref="X233">IFERROR(INDEX('5.29 Recipe Matrix (Unsorted)'!$C$5:$P$18,MATCH(R233,'5.29 Recipe Matrix (Unsorted)'!$A$5:$A$18,0),MATCH(U233,'5.29 Recipe Matrix (Unsorted)'!$C$3:$P$3,0)),"")</f>
        <v/>
      </c>
      <c r="Y233" s="65"/>
      <c r="Z233" s="43"/>
    </row>
    <row r="234" spans="1:26" ht="37.5" customHeight="1">
      <c r="A234" s="43"/>
      <c r="B234" s="66" t="str">
        <f ca="1">IFERROR(VLOOKUP(R234,Images!$A:$C,3,FALSE),R234)</f>
        <v>Spirit</v>
      </c>
      <c r="C234" s="65"/>
      <c r="D234" s="46" t="s">
        <v>357</v>
      </c>
      <c r="E234" s="66" t="str">
        <f ca="1">IFERROR(VLOOKUP(U234,Images!$A:$C,3,FALSE),"")</f>
        <v/>
      </c>
      <c r="F234" s="65"/>
      <c r="G234" s="46" t="s">
        <v>358</v>
      </c>
      <c r="H234" s="64" t="str">
        <f>IFERROR(VLOOKUP(X234,Images!$A:$C,3,FALSE),X234)</f>
        <v>10 Rare Equipment</v>
      </c>
      <c r="I234" s="65"/>
      <c r="J234" s="43"/>
      <c r="K234" s="43"/>
      <c r="L234" s="43"/>
      <c r="M234" s="43"/>
      <c r="N234" s="43"/>
      <c r="O234" s="43"/>
      <c r="P234" s="43"/>
      <c r="Q234" s="43"/>
      <c r="R234" s="66" t="str">
        <f t="shared" ref="R234:R246" si="13">R233</f>
        <v>Spirit</v>
      </c>
      <c r="S234" s="65"/>
      <c r="T234" s="46" t="s">
        <v>357</v>
      </c>
      <c r="U234" s="66" t="str">
        <f>Images!$A$3</f>
        <v>Sand</v>
      </c>
      <c r="V234" s="65"/>
      <c r="W234" s="46" t="s">
        <v>358</v>
      </c>
      <c r="X234" s="70" t="s">
        <v>359</v>
      </c>
      <c r="Y234" s="65"/>
      <c r="Z234" s="43"/>
    </row>
    <row r="235" spans="1:26" ht="37.5" customHeight="1">
      <c r="A235" s="43"/>
      <c r="B235" s="66" t="str">
        <f ca="1">IFERROR(VLOOKUP(R235,Images!$A:$C,3,FALSE),R235)</f>
        <v>Spirit</v>
      </c>
      <c r="C235" s="65"/>
      <c r="D235" s="46" t="s">
        <v>357</v>
      </c>
      <c r="E235" s="66" t="str">
        <f ca="1">IFERROR(VLOOKUP(U235,Images!$A:$C,3,FALSE),"")</f>
        <v/>
      </c>
      <c r="F235" s="65"/>
      <c r="G235" s="46" t="s">
        <v>358</v>
      </c>
      <c r="H235" s="64" t="str">
        <f>IFERROR(VLOOKUP(X235,Images!$A:$C,3,FALSE),X235)</f>
        <v/>
      </c>
      <c r="I235" s="65"/>
      <c r="J235" s="43"/>
      <c r="K235" s="43"/>
      <c r="L235" s="43"/>
      <c r="M235" s="43"/>
      <c r="N235" s="43"/>
      <c r="O235" s="43"/>
      <c r="P235" s="43"/>
      <c r="Q235" s="43"/>
      <c r="R235" s="66" t="str">
        <f t="shared" si="13"/>
        <v>Spirit</v>
      </c>
      <c r="S235" s="65"/>
      <c r="T235" s="46" t="s">
        <v>357</v>
      </c>
      <c r="U235" s="66" t="str">
        <f>Images!$A$4</f>
        <v>Water</v>
      </c>
      <c r="V235" s="65"/>
      <c r="W235" s="46" t="s">
        <v>358</v>
      </c>
      <c r="X235" s="70" t="str">
        <f t="array" ref="X235">IFERROR(INDEX('5.29 Recipe Matrix (Unsorted)'!$C$5:$P$18,MATCH(R235,'5.29 Recipe Matrix (Unsorted)'!$A$5:$A$18,0),MATCH(U235,'5.29 Recipe Matrix (Unsorted)'!$C$3:$P$3,0)),"")</f>
        <v/>
      </c>
      <c r="Y235" s="65"/>
      <c r="Z235" s="43"/>
    </row>
    <row r="236" spans="1:26" ht="37.5" customHeight="1">
      <c r="A236" s="43"/>
      <c r="B236" s="66" t="str">
        <f ca="1">IFERROR(VLOOKUP(R236,Images!$A:$C,3,FALSE),R236)</f>
        <v>Spirit</v>
      </c>
      <c r="C236" s="65"/>
      <c r="D236" s="46" t="s">
        <v>357</v>
      </c>
      <c r="E236" s="66" t="str">
        <f ca="1">IFERROR(VLOOKUP(U236,Images!$A:$C,3,FALSE),"")</f>
        <v/>
      </c>
      <c r="F236" s="65"/>
      <c r="G236" s="46" t="s">
        <v>358</v>
      </c>
      <c r="H236" s="64" t="str">
        <f>IFERROR(VLOOKUP(X236,Images!$A:$C,3,FALSE),X236)</f>
        <v/>
      </c>
      <c r="I236" s="65"/>
      <c r="J236" s="43"/>
      <c r="K236" s="43"/>
      <c r="L236" s="43"/>
      <c r="M236" s="43"/>
      <c r="N236" s="43"/>
      <c r="O236" s="43"/>
      <c r="P236" s="43"/>
      <c r="Q236" s="43"/>
      <c r="R236" s="66" t="str">
        <f t="shared" si="13"/>
        <v>Spirit</v>
      </c>
      <c r="S236" s="65"/>
      <c r="T236" s="46" t="s">
        <v>357</v>
      </c>
      <c r="U236" s="66" t="str">
        <f>Images!$A$5</f>
        <v>Lightning</v>
      </c>
      <c r="V236" s="65"/>
      <c r="W236" s="46" t="s">
        <v>358</v>
      </c>
      <c r="X236" s="70" t="str">
        <f t="array" ref="X236">IFERROR(INDEX('5.29 Recipe Matrix (Unsorted)'!$C$5:$P$18,MATCH(R236,'5.29 Recipe Matrix (Unsorted)'!$A$5:$A$18,0),MATCH(U236,'5.29 Recipe Matrix (Unsorted)'!$C$3:$P$3,0)),"")</f>
        <v/>
      </c>
      <c r="Y236" s="65"/>
      <c r="Z236" s="43"/>
    </row>
    <row r="237" spans="1:26" ht="37.5" customHeight="1">
      <c r="A237" s="43"/>
      <c r="B237" s="66" t="str">
        <f ca="1">IFERROR(VLOOKUP(R237,Images!$A:$C,3,FALSE),R237)</f>
        <v>Spirit</v>
      </c>
      <c r="C237" s="65"/>
      <c r="D237" s="46" t="s">
        <v>357</v>
      </c>
      <c r="E237" s="66" t="str">
        <f ca="1">IFERROR(VLOOKUP(U237,Images!$A:$C,3,FALSE),"")</f>
        <v/>
      </c>
      <c r="F237" s="65"/>
      <c r="G237" s="46" t="s">
        <v>358</v>
      </c>
      <c r="H237" s="64" t="str">
        <f>IFERROR(VLOOKUP(X237,Images!$A:$C,3,FALSE),X237)</f>
        <v/>
      </c>
      <c r="I237" s="65"/>
      <c r="J237" s="43"/>
      <c r="K237" s="43"/>
      <c r="L237" s="43"/>
      <c r="M237" s="43"/>
      <c r="N237" s="43"/>
      <c r="O237" s="43"/>
      <c r="P237" s="43"/>
      <c r="Q237" s="43"/>
      <c r="R237" s="66" t="str">
        <f t="shared" si="13"/>
        <v>Spirit</v>
      </c>
      <c r="S237" s="65"/>
      <c r="T237" s="46" t="s">
        <v>357</v>
      </c>
      <c r="U237" s="66" t="str">
        <f>Images!$A$6</f>
        <v>Poison</v>
      </c>
      <c r="V237" s="65"/>
      <c r="W237" s="46" t="s">
        <v>358</v>
      </c>
      <c r="X237" s="70" t="str">
        <f t="array" ref="X237">IFERROR(INDEX('5.29 Recipe Matrix (Unsorted)'!$C$5:$P$18,MATCH(R237,'5.29 Recipe Matrix (Unsorted)'!$A$5:$A$18,0),MATCH(U237,'5.29 Recipe Matrix (Unsorted)'!$C$3:$P$3,0)),"")</f>
        <v/>
      </c>
      <c r="Y237" s="65"/>
      <c r="Z237" s="43"/>
    </row>
    <row r="238" spans="1:26" ht="37.5" customHeight="1">
      <c r="A238" s="43"/>
      <c r="B238" s="66" t="str">
        <f ca="1">IFERROR(VLOOKUP(R238,Images!$A:$C,3,FALSE),R238)</f>
        <v>Spirit</v>
      </c>
      <c r="C238" s="65"/>
      <c r="D238" s="46" t="s">
        <v>357</v>
      </c>
      <c r="E238" s="66" t="str">
        <f ca="1">IFERROR(VLOOKUP(U238,Images!$A:$C,3,FALSE),"")</f>
        <v/>
      </c>
      <c r="F238" s="65"/>
      <c r="G238" s="46" t="s">
        <v>358</v>
      </c>
      <c r="H238" s="64" t="str">
        <f>IFERROR(VLOOKUP(X238,Images!$A:$C,3,FALSE),X238)</f>
        <v/>
      </c>
      <c r="I238" s="65"/>
      <c r="J238" s="43"/>
      <c r="K238" s="43"/>
      <c r="L238" s="43"/>
      <c r="M238" s="43"/>
      <c r="N238" s="43"/>
      <c r="O238" s="43"/>
      <c r="P238" s="43"/>
      <c r="Q238" s="43"/>
      <c r="R238" s="66" t="str">
        <f t="shared" si="13"/>
        <v>Spirit</v>
      </c>
      <c r="S238" s="65"/>
      <c r="T238" s="46" t="s">
        <v>357</v>
      </c>
      <c r="U238" s="66" t="str">
        <f>Images!$A$7</f>
        <v>Beetle</v>
      </c>
      <c r="V238" s="65"/>
      <c r="W238" s="46" t="s">
        <v>358</v>
      </c>
      <c r="X238" s="70" t="str">
        <f t="array" ref="X238">IFERROR(INDEX('5.29 Recipe Matrix (Unsorted)'!$C$5:$P$18,MATCH(R238,'5.29 Recipe Matrix (Unsorted)'!$A$5:$A$18,0),MATCH(U238,'5.29 Recipe Matrix (Unsorted)'!$C$3:$P$3,0)),"")</f>
        <v/>
      </c>
      <c r="Y238" s="65"/>
      <c r="Z238" s="43"/>
    </row>
    <row r="239" spans="1:26" ht="37.5" customHeight="1">
      <c r="A239" s="43"/>
      <c r="B239" s="66" t="str">
        <f ca="1">IFERROR(VLOOKUP(R239,Images!$A:$C,3,FALSE),R239)</f>
        <v>Spirit</v>
      </c>
      <c r="C239" s="65"/>
      <c r="D239" s="46" t="s">
        <v>357</v>
      </c>
      <c r="E239" s="66" t="str">
        <f ca="1">IFERROR(VLOOKUP(U239,Images!$A:$C,3,FALSE),"")</f>
        <v/>
      </c>
      <c r="F239" s="65"/>
      <c r="G239" s="46" t="s">
        <v>358</v>
      </c>
      <c r="H239" s="64" t="str">
        <f>IFERROR(VLOOKUP(X239,Images!$A:$C,3,FALSE),X239)</f>
        <v/>
      </c>
      <c r="I239" s="65"/>
      <c r="J239" s="43"/>
      <c r="K239" s="43"/>
      <c r="L239" s="43"/>
      <c r="M239" s="43"/>
      <c r="N239" s="43"/>
      <c r="O239" s="43"/>
      <c r="P239" s="43"/>
      <c r="Q239" s="43"/>
      <c r="R239" s="66" t="str">
        <f t="shared" si="13"/>
        <v>Spirit</v>
      </c>
      <c r="S239" s="65"/>
      <c r="T239" s="46" t="s">
        <v>357</v>
      </c>
      <c r="U239" s="66" t="str">
        <f>Images!$A$8</f>
        <v>Tooth</v>
      </c>
      <c r="V239" s="65"/>
      <c r="W239" s="46" t="s">
        <v>358</v>
      </c>
      <c r="X239" s="70" t="str">
        <f t="array" ref="X239">IFERROR(INDEX('5.29 Recipe Matrix (Unsorted)'!$C$5:$P$18,MATCH(R239,'5.29 Recipe Matrix (Unsorted)'!$A$5:$A$18,0),MATCH(U239,'5.29 Recipe Matrix (Unsorted)'!$C$3:$P$3,0)),"")</f>
        <v/>
      </c>
      <c r="Y239" s="65"/>
      <c r="Z239" s="43"/>
    </row>
    <row r="240" spans="1:26" ht="37.5" customHeight="1">
      <c r="A240" s="43"/>
      <c r="B240" s="66" t="str">
        <f ca="1">IFERROR(VLOOKUP(R240,Images!$A:$C,3,FALSE),R240)</f>
        <v>Spirit</v>
      </c>
      <c r="C240" s="65"/>
      <c r="D240" s="46" t="s">
        <v>357</v>
      </c>
      <c r="E240" s="66" t="str">
        <f ca="1">IFERROR(VLOOKUP(U240,Images!$A:$C,3,FALSE),"")</f>
        <v/>
      </c>
      <c r="F240" s="65"/>
      <c r="G240" s="46" t="s">
        <v>358</v>
      </c>
      <c r="H240" s="64" t="str">
        <f>IFERROR(VLOOKUP(X240,Images!$A:$C,3,FALSE),X240)</f>
        <v/>
      </c>
      <c r="I240" s="65"/>
      <c r="J240" s="43"/>
      <c r="K240" s="43"/>
      <c r="L240" s="43"/>
      <c r="M240" s="43"/>
      <c r="N240" s="43"/>
      <c r="O240" s="43"/>
      <c r="P240" s="43"/>
      <c r="Q240" s="43"/>
      <c r="R240" s="66" t="str">
        <f t="shared" si="13"/>
        <v>Spirit</v>
      </c>
      <c r="S240" s="65"/>
      <c r="T240" s="46" t="s">
        <v>357</v>
      </c>
      <c r="U240" s="66" t="str">
        <f>Images!$A$9</f>
        <v>Flame</v>
      </c>
      <c r="V240" s="65"/>
      <c r="W240" s="46" t="s">
        <v>358</v>
      </c>
      <c r="X240" s="70" t="str">
        <f t="array" ref="X240">IFERROR(INDEX('5.29 Recipe Matrix (Unsorted)'!$C$5:$P$18,MATCH(R240,'5.29 Recipe Matrix (Unsorted)'!$A$5:$A$18,0),MATCH(U240,'5.29 Recipe Matrix (Unsorted)'!$C$3:$P$3,0)),"")</f>
        <v/>
      </c>
      <c r="Y240" s="65"/>
      <c r="Z240" s="43"/>
    </row>
    <row r="241" spans="1:26" ht="37.5" customHeight="1">
      <c r="A241" s="43"/>
      <c r="B241" s="66" t="str">
        <f ca="1">IFERROR(VLOOKUP(R241,Images!$A:$C,3,FALSE),R241)</f>
        <v>Spirit</v>
      </c>
      <c r="C241" s="65"/>
      <c r="D241" s="46" t="s">
        <v>357</v>
      </c>
      <c r="E241" s="66" t="str">
        <f ca="1">IFERROR(VLOOKUP(U241,Images!$A:$C,3,FALSE),"")</f>
        <v/>
      </c>
      <c r="F241" s="65"/>
      <c r="G241" s="46" t="s">
        <v>358</v>
      </c>
      <c r="H241" s="64" t="str">
        <f>IFERROR(VLOOKUP(X241,Images!$A:$C,3,FALSE),X241)</f>
        <v/>
      </c>
      <c r="I241" s="65"/>
      <c r="J241" s="43"/>
      <c r="K241" s="43"/>
      <c r="L241" s="43"/>
      <c r="M241" s="43"/>
      <c r="N241" s="43"/>
      <c r="O241" s="43"/>
      <c r="P241" s="43"/>
      <c r="Q241" s="43"/>
      <c r="R241" s="66" t="str">
        <f t="shared" si="13"/>
        <v>Spirit</v>
      </c>
      <c r="S241" s="65"/>
      <c r="T241" s="46" t="s">
        <v>357</v>
      </c>
      <c r="U241" s="66" t="str">
        <f>Images!$A$10</f>
        <v>Steel</v>
      </c>
      <c r="V241" s="65"/>
      <c r="W241" s="46" t="s">
        <v>358</v>
      </c>
      <c r="X241" s="70" t="str">
        <f t="array" ref="X241">IFERROR(INDEX('5.29 Recipe Matrix (Unsorted)'!$C$5:$P$18,MATCH(R241,'5.29 Recipe Matrix (Unsorted)'!$A$5:$A$18,0),MATCH(U241,'5.29 Recipe Matrix (Unsorted)'!$C$3:$P$3,0)),"")</f>
        <v/>
      </c>
      <c r="Y241" s="65"/>
      <c r="Z241" s="43"/>
    </row>
    <row r="242" spans="1:26" ht="37.5" customHeight="1">
      <c r="A242" s="43"/>
      <c r="B242" s="66" t="str">
        <f ca="1">IFERROR(VLOOKUP(R242,Images!$A:$C,3,FALSE),R242)</f>
        <v>Spirit</v>
      </c>
      <c r="C242" s="65"/>
      <c r="D242" s="46" t="s">
        <v>357</v>
      </c>
      <c r="E242" s="66" t="str">
        <f ca="1">IFERROR(VLOOKUP(U242,Images!$A:$C,3,FALSE),"")</f>
        <v/>
      </c>
      <c r="F242" s="65"/>
      <c r="G242" s="46" t="s">
        <v>358</v>
      </c>
      <c r="H242" s="64" t="str">
        <f>IFERROR(VLOOKUP(X242,Images!$A:$C,3,FALSE),X242)</f>
        <v/>
      </c>
      <c r="I242" s="65"/>
      <c r="J242" s="43"/>
      <c r="K242" s="43"/>
      <c r="L242" s="43"/>
      <c r="M242" s="43"/>
      <c r="N242" s="43"/>
      <c r="O242" s="43"/>
      <c r="P242" s="43"/>
      <c r="Q242" s="43"/>
      <c r="R242" s="66" t="str">
        <f t="shared" si="13"/>
        <v>Spirit</v>
      </c>
      <c r="S242" s="65"/>
      <c r="T242" s="46" t="s">
        <v>357</v>
      </c>
      <c r="U242" s="66" t="str">
        <f>Images!$A$11</f>
        <v>Scale</v>
      </c>
      <c r="V242" s="65"/>
      <c r="W242" s="46" t="s">
        <v>358</v>
      </c>
      <c r="X242" s="70" t="str">
        <f t="array" ref="X242">IFERROR(INDEX('5.29 Recipe Matrix (Unsorted)'!$C$5:$P$18,MATCH(R242,'5.29 Recipe Matrix (Unsorted)'!$A$5:$A$18,0),MATCH(U242,'5.29 Recipe Matrix (Unsorted)'!$C$3:$P$3,0)),"")</f>
        <v/>
      </c>
      <c r="Y242" s="65"/>
      <c r="Z242" s="43"/>
    </row>
    <row r="243" spans="1:26" ht="37.5" customHeight="1">
      <c r="A243" s="43"/>
      <c r="B243" s="66" t="str">
        <f ca="1">IFERROR(VLOOKUP(R243,Images!$A:$C,3,FALSE),R243)</f>
        <v>Spirit</v>
      </c>
      <c r="C243" s="65"/>
      <c r="D243" s="46" t="s">
        <v>357</v>
      </c>
      <c r="E243" s="66" t="str">
        <f ca="1">IFERROR(VLOOKUP(U243,Images!$A:$C,3,FALSE),"")</f>
        <v/>
      </c>
      <c r="F243" s="65"/>
      <c r="G243" s="46" t="s">
        <v>358</v>
      </c>
      <c r="H243" s="64" t="str">
        <f>IFERROR(VLOOKUP(X243,Images!$A:$C,3,FALSE),X243)</f>
        <v/>
      </c>
      <c r="I243" s="65"/>
      <c r="J243" s="43"/>
      <c r="K243" s="43"/>
      <c r="L243" s="43"/>
      <c r="M243" s="43"/>
      <c r="N243" s="43"/>
      <c r="O243" s="43"/>
      <c r="P243" s="43"/>
      <c r="Q243" s="43"/>
      <c r="R243" s="66" t="str">
        <f t="shared" si="13"/>
        <v>Spirit</v>
      </c>
      <c r="S243" s="65"/>
      <c r="T243" s="46" t="s">
        <v>357</v>
      </c>
      <c r="U243" s="66" t="str">
        <f>Images!$A$12</f>
        <v>Essence</v>
      </c>
      <c r="V243" s="65"/>
      <c r="W243" s="46" t="s">
        <v>358</v>
      </c>
      <c r="X243" s="70" t="str">
        <f t="array" ref="X243">IFERROR(INDEX('5.29 Recipe Matrix (Unsorted)'!$C$5:$P$18,MATCH(R243,'5.29 Recipe Matrix (Unsorted)'!$A$5:$A$18,0),MATCH(U243,'5.29 Recipe Matrix (Unsorted)'!$C$3:$P$3,0)),"")</f>
        <v/>
      </c>
      <c r="Y243" s="65"/>
      <c r="Z243" s="43"/>
    </row>
    <row r="244" spans="1:26" ht="37.5" customHeight="1">
      <c r="A244" s="43"/>
      <c r="B244" s="66" t="str">
        <f ca="1">IFERROR(VLOOKUP(R244,Images!$A:$C,3,FALSE),R244)</f>
        <v>Spirit</v>
      </c>
      <c r="C244" s="65"/>
      <c r="D244" s="46" t="s">
        <v>357</v>
      </c>
      <c r="E244" s="66" t="str">
        <f ca="1">IFERROR(VLOOKUP(U244,Images!$A:$C,3,FALSE),"")</f>
        <v/>
      </c>
      <c r="F244" s="65"/>
      <c r="G244" s="46" t="s">
        <v>358</v>
      </c>
      <c r="H244" s="64" t="str">
        <f>IFERROR(VLOOKUP(X244,Images!$A:$C,3,FALSE),X244)</f>
        <v/>
      </c>
      <c r="I244" s="65"/>
      <c r="J244" s="43"/>
      <c r="K244" s="43"/>
      <c r="L244" s="43"/>
      <c r="M244" s="43"/>
      <c r="N244" s="43"/>
      <c r="O244" s="43"/>
      <c r="P244" s="43"/>
      <c r="Q244" s="43"/>
      <c r="R244" s="66" t="str">
        <f t="shared" si="13"/>
        <v>Spirit</v>
      </c>
      <c r="S244" s="65"/>
      <c r="T244" s="46" t="s">
        <v>357</v>
      </c>
      <c r="U244" s="66" t="str">
        <f>Images!$A$13</f>
        <v>Power</v>
      </c>
      <c r="V244" s="65"/>
      <c r="W244" s="46" t="s">
        <v>358</v>
      </c>
      <c r="X244" s="70" t="str">
        <f t="array" ref="X244">IFERROR(INDEX('5.29 Recipe Matrix (Unsorted)'!$C$5:$P$18,MATCH(R244,'5.29 Recipe Matrix (Unsorted)'!$A$5:$A$18,0),MATCH(U244,'5.29 Recipe Matrix (Unsorted)'!$C$3:$P$3,0)),"")</f>
        <v/>
      </c>
      <c r="Y244" s="65"/>
      <c r="Z244" s="43"/>
    </row>
    <row r="245" spans="1:26" ht="37.5" customHeight="1">
      <c r="A245" s="43"/>
      <c r="B245" s="66" t="str">
        <f ca="1">IFERROR(VLOOKUP(R245,Images!$A:$C,3,FALSE),R245)</f>
        <v>Spirit</v>
      </c>
      <c r="C245" s="65"/>
      <c r="D245" s="46" t="s">
        <v>357</v>
      </c>
      <c r="E245" s="66" t="str">
        <f ca="1">IFERROR(VLOOKUP(U245,Images!$A:$C,3,FALSE),"")</f>
        <v/>
      </c>
      <c r="F245" s="65"/>
      <c r="G245" s="46" t="s">
        <v>358</v>
      </c>
      <c r="H245" s="64" t="str">
        <f>IFERROR(VLOOKUP(X245,Images!$A:$C,3,FALSE),X245)</f>
        <v/>
      </c>
      <c r="I245" s="65"/>
      <c r="J245" s="43"/>
      <c r="K245" s="43"/>
      <c r="L245" s="43"/>
      <c r="M245" s="43"/>
      <c r="N245" s="43"/>
      <c r="O245" s="43"/>
      <c r="P245" s="43"/>
      <c r="Q245" s="43"/>
      <c r="R245" s="66" t="str">
        <f t="shared" si="13"/>
        <v>Spirit</v>
      </c>
      <c r="S245" s="65"/>
      <c r="T245" s="46" t="s">
        <v>357</v>
      </c>
      <c r="U245" s="66" t="str">
        <f>Images!$A$14</f>
        <v>Shadow</v>
      </c>
      <c r="V245" s="65"/>
      <c r="W245" s="46" t="s">
        <v>358</v>
      </c>
      <c r="X245" s="70" t="str">
        <f t="array" ref="X245">IFERROR(INDEX('5.29 Recipe Matrix (Unsorted)'!$C$5:$P$18,MATCH(R245,'5.29 Recipe Matrix (Unsorted)'!$A$5:$A$18,0),MATCH(U245,'5.29 Recipe Matrix (Unsorted)'!$C$3:$P$3,0)),"")</f>
        <v/>
      </c>
      <c r="Y245" s="65"/>
      <c r="Z245" s="43"/>
    </row>
    <row r="246" spans="1:26" ht="37.5" customHeight="1">
      <c r="A246" s="43"/>
      <c r="B246" s="66" t="str">
        <f ca="1">IFERROR(VLOOKUP(R246,Images!$A:$C,3,FALSE),R246)</f>
        <v>Spirit</v>
      </c>
      <c r="C246" s="65"/>
      <c r="D246" s="46" t="s">
        <v>357</v>
      </c>
      <c r="E246" s="66" t="str">
        <f ca="1">IFERROR(VLOOKUP(U246,Images!$A:$C,3,FALSE),"")</f>
        <v/>
      </c>
      <c r="F246" s="65"/>
      <c r="G246" s="46" t="s">
        <v>358</v>
      </c>
      <c r="H246" s="64" t="str">
        <f>IFERROR(VLOOKUP(X246,Images!$A:$C,3,FALSE),X246)</f>
        <v/>
      </c>
      <c r="I246" s="65"/>
      <c r="J246" s="43"/>
      <c r="K246" s="43"/>
      <c r="L246" s="43"/>
      <c r="M246" s="43"/>
      <c r="N246" s="43"/>
      <c r="O246" s="43"/>
      <c r="P246" s="43"/>
      <c r="Q246" s="43"/>
      <c r="R246" s="66" t="str">
        <f t="shared" si="13"/>
        <v>Spirit</v>
      </c>
      <c r="S246" s="65"/>
      <c r="T246" s="46" t="s">
        <v>357</v>
      </c>
      <c r="U246" s="66" t="str">
        <f>Images!$A$15</f>
        <v>Spirit</v>
      </c>
      <c r="V246" s="65"/>
      <c r="W246" s="46" t="s">
        <v>358</v>
      </c>
      <c r="X246" s="70" t="str">
        <f t="array" ref="X246">IFERROR(INDEX('5.29 Recipe Matrix (Unsorted)'!$C$5:$P$18,MATCH(R246,'5.29 Recipe Matrix (Unsorted)'!$A$5:$A$18,0),MATCH(U246,'5.29 Recipe Matrix (Unsorted)'!$C$3:$P$3,0)),"")</f>
        <v/>
      </c>
      <c r="Y246" s="65"/>
      <c r="Z246" s="43"/>
    </row>
    <row r="247" spans="1:26" ht="37.5" customHeight="1">
      <c r="A247" s="43"/>
      <c r="B247" s="43"/>
      <c r="C247" s="43"/>
      <c r="D247" s="43"/>
      <c r="E247" s="43"/>
      <c r="F247" s="43"/>
      <c r="G247" s="43"/>
      <c r="H247" s="67" t="str">
        <f>HYPERLINK("https://docs.google.com/spreadsheets/d/1o95Ipwx6NIyFV3LCz9LGNbH9_WELHF-pbpkM31YwXyY/edit#gid=0&amp;range=A1","Back to Top")</f>
        <v>Back to Top</v>
      </c>
      <c r="I247" s="65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67" t="str">
        <f>HYPERLINK("https://docs.google.com/spreadsheets/d/1o95Ipwx6NIyFV3LCz9LGNbH9_WELHF-pbpkM31YwXyY/edit#gid=0&amp;range=A1","Back to Top")</f>
        <v>Back to Top</v>
      </c>
      <c r="Y247" s="65"/>
      <c r="Z247" s="43"/>
    </row>
    <row r="248" spans="1:26" ht="37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</sheetData>
  <mergeCells count="1271">
    <mergeCell ref="X184:Y184"/>
    <mergeCell ref="U182:V182"/>
    <mergeCell ref="X182:Y182"/>
    <mergeCell ref="X175:Y175"/>
    <mergeCell ref="X176:Y176"/>
    <mergeCell ref="X177:Y177"/>
    <mergeCell ref="X178:Y178"/>
    <mergeCell ref="X179:Y179"/>
    <mergeCell ref="R181:Y181"/>
    <mergeCell ref="R182:S182"/>
    <mergeCell ref="X161:Y161"/>
    <mergeCell ref="X162:Y162"/>
    <mergeCell ref="R164:Y164"/>
    <mergeCell ref="R165:S165"/>
    <mergeCell ref="U165:V165"/>
    <mergeCell ref="R166:S166"/>
    <mergeCell ref="X167:Y167"/>
    <mergeCell ref="U173:V173"/>
    <mergeCell ref="U174:V174"/>
    <mergeCell ref="U175:V175"/>
    <mergeCell ref="U176:V176"/>
    <mergeCell ref="U177:V177"/>
    <mergeCell ref="U178:V178"/>
    <mergeCell ref="U166:V166"/>
    <mergeCell ref="U167:V167"/>
    <mergeCell ref="U168:V168"/>
    <mergeCell ref="U169:V169"/>
    <mergeCell ref="U170:V170"/>
    <mergeCell ref="U171:V171"/>
    <mergeCell ref="U172:V172"/>
    <mergeCell ref="R174:S174"/>
    <mergeCell ref="R175:S175"/>
    <mergeCell ref="U155:V155"/>
    <mergeCell ref="R152:S152"/>
    <mergeCell ref="R153:S153"/>
    <mergeCell ref="U153:V153"/>
    <mergeCell ref="X153:Y153"/>
    <mergeCell ref="R154:S154"/>
    <mergeCell ref="X154:Y154"/>
    <mergeCell ref="X155:Y155"/>
    <mergeCell ref="U157:V157"/>
    <mergeCell ref="U158:V158"/>
    <mergeCell ref="R155:S155"/>
    <mergeCell ref="R156:S156"/>
    <mergeCell ref="R177:S177"/>
    <mergeCell ref="R178:S178"/>
    <mergeCell ref="R167:S167"/>
    <mergeCell ref="R168:S168"/>
    <mergeCell ref="R169:S169"/>
    <mergeCell ref="R170:S170"/>
    <mergeCell ref="R171:S171"/>
    <mergeCell ref="R172:S172"/>
    <mergeCell ref="R173:S173"/>
    <mergeCell ref="X168:Y168"/>
    <mergeCell ref="X169:Y169"/>
    <mergeCell ref="X170:Y170"/>
    <mergeCell ref="X171:Y171"/>
    <mergeCell ref="X172:Y172"/>
    <mergeCell ref="X173:Y173"/>
    <mergeCell ref="X174:Y174"/>
    <mergeCell ref="R176:S176"/>
    <mergeCell ref="X143:Y143"/>
    <mergeCell ref="X144:Y144"/>
    <mergeCell ref="X145:Y145"/>
    <mergeCell ref="R147:Y147"/>
    <mergeCell ref="R148:S148"/>
    <mergeCell ref="X148:Y148"/>
    <mergeCell ref="X149:Y149"/>
    <mergeCell ref="U151:V151"/>
    <mergeCell ref="U152:V152"/>
    <mergeCell ref="R149:S149"/>
    <mergeCell ref="R150:S150"/>
    <mergeCell ref="U150:V150"/>
    <mergeCell ref="X150:Y150"/>
    <mergeCell ref="R151:S151"/>
    <mergeCell ref="X151:Y151"/>
    <mergeCell ref="X152:Y152"/>
    <mergeCell ref="U154:V154"/>
    <mergeCell ref="R157:S157"/>
    <mergeCell ref="X157:Y157"/>
    <mergeCell ref="X158:Y158"/>
    <mergeCell ref="U160:V160"/>
    <mergeCell ref="U161:V161"/>
    <mergeCell ref="R158:S158"/>
    <mergeCell ref="R159:S159"/>
    <mergeCell ref="U159:V159"/>
    <mergeCell ref="X159:Y159"/>
    <mergeCell ref="R160:S160"/>
    <mergeCell ref="X160:Y160"/>
    <mergeCell ref="R161:S161"/>
    <mergeCell ref="R132:S132"/>
    <mergeCell ref="U132:V132"/>
    <mergeCell ref="X132:Y132"/>
    <mergeCell ref="R133:S133"/>
    <mergeCell ref="U133:V133"/>
    <mergeCell ref="R134:S134"/>
    <mergeCell ref="X135:Y135"/>
    <mergeCell ref="U141:V141"/>
    <mergeCell ref="U142:V142"/>
    <mergeCell ref="U143:V143"/>
    <mergeCell ref="U144:V144"/>
    <mergeCell ref="U134:V134"/>
    <mergeCell ref="U135:V135"/>
    <mergeCell ref="U136:V136"/>
    <mergeCell ref="U137:V137"/>
    <mergeCell ref="U138:V138"/>
    <mergeCell ref="U139:V139"/>
    <mergeCell ref="U140:V140"/>
    <mergeCell ref="U148:V148"/>
    <mergeCell ref="U149:V149"/>
    <mergeCell ref="R183:S183"/>
    <mergeCell ref="U183:V183"/>
    <mergeCell ref="X183:Y183"/>
    <mergeCell ref="R184:S184"/>
    <mergeCell ref="U184:V184"/>
    <mergeCell ref="R185:S185"/>
    <mergeCell ref="R186:S186"/>
    <mergeCell ref="X186:Y186"/>
    <mergeCell ref="R189:S189"/>
    <mergeCell ref="R190:S190"/>
    <mergeCell ref="R191:S191"/>
    <mergeCell ref="R192:S192"/>
    <mergeCell ref="R193:S193"/>
    <mergeCell ref="R142:S142"/>
    <mergeCell ref="R143:S143"/>
    <mergeCell ref="R144:S144"/>
    <mergeCell ref="R135:S135"/>
    <mergeCell ref="R136:S136"/>
    <mergeCell ref="R137:S137"/>
    <mergeCell ref="R138:S138"/>
    <mergeCell ref="R139:S139"/>
    <mergeCell ref="R140:S140"/>
    <mergeCell ref="R141:S141"/>
    <mergeCell ref="X136:Y136"/>
    <mergeCell ref="X137:Y137"/>
    <mergeCell ref="X138:Y138"/>
    <mergeCell ref="X139:Y139"/>
    <mergeCell ref="X140:Y140"/>
    <mergeCell ref="X141:Y141"/>
    <mergeCell ref="X142:Y142"/>
    <mergeCell ref="U156:V156"/>
    <mergeCell ref="X156:Y156"/>
    <mergeCell ref="R194:S194"/>
    <mergeCell ref="R195:S195"/>
    <mergeCell ref="R123:S123"/>
    <mergeCell ref="R124:S124"/>
    <mergeCell ref="R125:S125"/>
    <mergeCell ref="R126:S126"/>
    <mergeCell ref="R127:S127"/>
    <mergeCell ref="R187:S187"/>
    <mergeCell ref="R188:S188"/>
    <mergeCell ref="X110:Y110"/>
    <mergeCell ref="X111:Y111"/>
    <mergeCell ref="R113:Y113"/>
    <mergeCell ref="R114:S114"/>
    <mergeCell ref="U114:V114"/>
    <mergeCell ref="R115:S115"/>
    <mergeCell ref="X116:Y116"/>
    <mergeCell ref="U115:V115"/>
    <mergeCell ref="U116:V116"/>
    <mergeCell ref="U117:V117"/>
    <mergeCell ref="U118:V118"/>
    <mergeCell ref="U119:V119"/>
    <mergeCell ref="U120:V120"/>
    <mergeCell ref="U121:V121"/>
    <mergeCell ref="R116:S116"/>
    <mergeCell ref="R117:S117"/>
    <mergeCell ref="R118:S118"/>
    <mergeCell ref="R119:S119"/>
    <mergeCell ref="R120:S120"/>
    <mergeCell ref="R121:S121"/>
    <mergeCell ref="R122:S122"/>
    <mergeCell ref="X117:Y117"/>
    <mergeCell ref="X118:Y118"/>
    <mergeCell ref="X119:Y119"/>
    <mergeCell ref="X120:Y120"/>
    <mergeCell ref="X121:Y121"/>
    <mergeCell ref="X122:Y122"/>
    <mergeCell ref="X123:Y123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22:V122"/>
    <mergeCell ref="U123:V123"/>
    <mergeCell ref="U124:V124"/>
    <mergeCell ref="U125:V125"/>
    <mergeCell ref="U126:V126"/>
    <mergeCell ref="U127:V127"/>
    <mergeCell ref="U187:V187"/>
    <mergeCell ref="X133:Y133"/>
    <mergeCell ref="X134:Y134"/>
    <mergeCell ref="X187:Y187"/>
    <mergeCell ref="X188:Y188"/>
    <mergeCell ref="X189:Y189"/>
    <mergeCell ref="X190:Y190"/>
    <mergeCell ref="X191:Y191"/>
    <mergeCell ref="X165:Y165"/>
    <mergeCell ref="X166:Y166"/>
    <mergeCell ref="U185:V185"/>
    <mergeCell ref="U186:V186"/>
    <mergeCell ref="X185:Y185"/>
    <mergeCell ref="R109:S109"/>
    <mergeCell ref="X109:Y109"/>
    <mergeCell ref="R110:S110"/>
    <mergeCell ref="U97:V97"/>
    <mergeCell ref="U98:V98"/>
    <mergeCell ref="X92:Y92"/>
    <mergeCell ref="X93:Y93"/>
    <mergeCell ref="X94:Y94"/>
    <mergeCell ref="R96:Y96"/>
    <mergeCell ref="R97:S97"/>
    <mergeCell ref="X97:Y97"/>
    <mergeCell ref="X98:Y98"/>
    <mergeCell ref="U103:V103"/>
    <mergeCell ref="U104:V104"/>
    <mergeCell ref="R101:S101"/>
    <mergeCell ref="R102:S102"/>
    <mergeCell ref="U102:V102"/>
    <mergeCell ref="X102:Y102"/>
    <mergeCell ref="R103:S103"/>
    <mergeCell ref="X103:Y103"/>
    <mergeCell ref="X104:Y104"/>
    <mergeCell ref="R84:S84"/>
    <mergeCell ref="R85:S85"/>
    <mergeCell ref="R86:S86"/>
    <mergeCell ref="R87:S87"/>
    <mergeCell ref="R88:S88"/>
    <mergeCell ref="R89:S89"/>
    <mergeCell ref="R90:S90"/>
    <mergeCell ref="X85:Y85"/>
    <mergeCell ref="X86:Y86"/>
    <mergeCell ref="X87:Y87"/>
    <mergeCell ref="X88:Y88"/>
    <mergeCell ref="U106:V106"/>
    <mergeCell ref="U107:V107"/>
    <mergeCell ref="R104:S104"/>
    <mergeCell ref="R105:S105"/>
    <mergeCell ref="U105:V105"/>
    <mergeCell ref="X105:Y105"/>
    <mergeCell ref="R106:S106"/>
    <mergeCell ref="X106:Y106"/>
    <mergeCell ref="X107:Y107"/>
    <mergeCell ref="R107:S107"/>
    <mergeCell ref="X91:Y91"/>
    <mergeCell ref="X114:Y114"/>
    <mergeCell ref="X115:Y115"/>
    <mergeCell ref="U131:V131"/>
    <mergeCell ref="X131:Y131"/>
    <mergeCell ref="X124:Y124"/>
    <mergeCell ref="X125:Y125"/>
    <mergeCell ref="X126:Y126"/>
    <mergeCell ref="X127:Y127"/>
    <mergeCell ref="X128:Y128"/>
    <mergeCell ref="R130:Y130"/>
    <mergeCell ref="R131:S131"/>
    <mergeCell ref="U199:V199"/>
    <mergeCell ref="X199:Y199"/>
    <mergeCell ref="X192:Y192"/>
    <mergeCell ref="X193:Y193"/>
    <mergeCell ref="X194:Y194"/>
    <mergeCell ref="X195:Y195"/>
    <mergeCell ref="X196:Y196"/>
    <mergeCell ref="R198:Y198"/>
    <mergeCell ref="R199:S199"/>
    <mergeCell ref="U91:V91"/>
    <mergeCell ref="U92:V92"/>
    <mergeCell ref="U93:V93"/>
    <mergeCell ref="R91:S91"/>
    <mergeCell ref="R92:S92"/>
    <mergeCell ref="R93:S93"/>
    <mergeCell ref="U109:V109"/>
    <mergeCell ref="U110:V110"/>
    <mergeCell ref="R108:S108"/>
    <mergeCell ref="U108:V108"/>
    <mergeCell ref="X108:Y108"/>
    <mergeCell ref="R11:Y11"/>
    <mergeCell ref="R12:S12"/>
    <mergeCell ref="U12:V12"/>
    <mergeCell ref="X12:Y12"/>
    <mergeCell ref="U13:V13"/>
    <mergeCell ref="X13:Y13"/>
    <mergeCell ref="R5:S5"/>
    <mergeCell ref="T5:U5"/>
    <mergeCell ref="R6:S6"/>
    <mergeCell ref="T6:U6"/>
    <mergeCell ref="R7:S7"/>
    <mergeCell ref="T7:U7"/>
    <mergeCell ref="R8:S8"/>
    <mergeCell ref="T8:U8"/>
    <mergeCell ref="V8:W8"/>
    <mergeCell ref="X89:Y89"/>
    <mergeCell ref="X90:Y90"/>
    <mergeCell ref="R81:S81"/>
    <mergeCell ref="U81:V81"/>
    <mergeCell ref="X81:Y81"/>
    <mergeCell ref="R82:S82"/>
    <mergeCell ref="U82:V82"/>
    <mergeCell ref="R83:S83"/>
    <mergeCell ref="X84:Y84"/>
    <mergeCell ref="U90:V90"/>
    <mergeCell ref="U83:V83"/>
    <mergeCell ref="U84:V84"/>
    <mergeCell ref="U85:V85"/>
    <mergeCell ref="U86:V86"/>
    <mergeCell ref="U87:V87"/>
    <mergeCell ref="U88:V88"/>
    <mergeCell ref="U89:V89"/>
    <mergeCell ref="B2:I2"/>
    <mergeCell ref="B4:I4"/>
    <mergeCell ref="L4:P4"/>
    <mergeCell ref="R4:Y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B7:C7"/>
    <mergeCell ref="H7:I7"/>
    <mergeCell ref="V5:W5"/>
    <mergeCell ref="X5:Y5"/>
    <mergeCell ref="V6:W6"/>
    <mergeCell ref="X6:Y6"/>
    <mergeCell ref="V7:W7"/>
    <mergeCell ref="X7:Y7"/>
    <mergeCell ref="D7:E7"/>
    <mergeCell ref="F7:G7"/>
    <mergeCell ref="B8:C8"/>
    <mergeCell ref="D8:E8"/>
    <mergeCell ref="F8:G8"/>
    <mergeCell ref="H8:I8"/>
    <mergeCell ref="B11:I11"/>
    <mergeCell ref="E14:F14"/>
    <mergeCell ref="E15:F15"/>
    <mergeCell ref="R15:S15"/>
    <mergeCell ref="U15:V15"/>
    <mergeCell ref="X15:Y15"/>
    <mergeCell ref="B15:C15"/>
    <mergeCell ref="B16:C16"/>
    <mergeCell ref="E16:F16"/>
    <mergeCell ref="H16:I16"/>
    <mergeCell ref="R16:S16"/>
    <mergeCell ref="X16:Y16"/>
    <mergeCell ref="R17:S17"/>
    <mergeCell ref="X17:Y17"/>
    <mergeCell ref="H13:I13"/>
    <mergeCell ref="H14:I14"/>
    <mergeCell ref="B12:C12"/>
    <mergeCell ref="E12:F12"/>
    <mergeCell ref="H12:I12"/>
    <mergeCell ref="B13:C13"/>
    <mergeCell ref="E13:F13"/>
    <mergeCell ref="B14:C14"/>
    <mergeCell ref="H15:I15"/>
    <mergeCell ref="R13:S13"/>
    <mergeCell ref="R14:S14"/>
    <mergeCell ref="U14:V14"/>
    <mergeCell ref="X14:Y14"/>
    <mergeCell ref="X8:Y8"/>
    <mergeCell ref="H18:I18"/>
    <mergeCell ref="H19:I19"/>
    <mergeCell ref="H21:I21"/>
    <mergeCell ref="H22:I22"/>
    <mergeCell ref="H23:I23"/>
    <mergeCell ref="H24:I24"/>
    <mergeCell ref="H25:I25"/>
    <mergeCell ref="H26:I26"/>
    <mergeCell ref="E19:F19"/>
    <mergeCell ref="E20:F20"/>
    <mergeCell ref="E21:F21"/>
    <mergeCell ref="E22:F22"/>
    <mergeCell ref="E23:F23"/>
    <mergeCell ref="E24:F24"/>
    <mergeCell ref="E25:F25"/>
    <mergeCell ref="B17:C17"/>
    <mergeCell ref="E17:F17"/>
    <mergeCell ref="H17:I17"/>
    <mergeCell ref="B18:C18"/>
    <mergeCell ref="E18:F18"/>
    <mergeCell ref="B19:C19"/>
    <mergeCell ref="H20:I20"/>
    <mergeCell ref="B20:C20"/>
    <mergeCell ref="B21:C21"/>
    <mergeCell ref="B22:C22"/>
    <mergeCell ref="B23:C23"/>
    <mergeCell ref="B24:C24"/>
    <mergeCell ref="B25:C25"/>
    <mergeCell ref="B28:I28"/>
    <mergeCell ref="H30:I30"/>
    <mergeCell ref="H31:I31"/>
    <mergeCell ref="X23:Y23"/>
    <mergeCell ref="X24:Y24"/>
    <mergeCell ref="X25:Y25"/>
    <mergeCell ref="X26:Y26"/>
    <mergeCell ref="R28:Y28"/>
    <mergeCell ref="U29:V29"/>
    <mergeCell ref="X29:Y29"/>
    <mergeCell ref="R29:S29"/>
    <mergeCell ref="R30:S30"/>
    <mergeCell ref="U30:V30"/>
    <mergeCell ref="X30:Y30"/>
    <mergeCell ref="R31:S31"/>
    <mergeCell ref="X31:Y31"/>
    <mergeCell ref="X32:Y32"/>
    <mergeCell ref="B29:C29"/>
    <mergeCell ref="E29:F29"/>
    <mergeCell ref="H29:I29"/>
    <mergeCell ref="B30:C30"/>
    <mergeCell ref="E30:F30"/>
    <mergeCell ref="B31:C31"/>
    <mergeCell ref="H32:I32"/>
    <mergeCell ref="R33:S33"/>
    <mergeCell ref="R34:S34"/>
    <mergeCell ref="R35:S35"/>
    <mergeCell ref="R36:S36"/>
    <mergeCell ref="R37:S37"/>
    <mergeCell ref="R38:S38"/>
    <mergeCell ref="U16:V16"/>
    <mergeCell ref="U17:V17"/>
    <mergeCell ref="R18:S18"/>
    <mergeCell ref="U18:V18"/>
    <mergeCell ref="X18:Y18"/>
    <mergeCell ref="U19:V19"/>
    <mergeCell ref="X19:Y19"/>
    <mergeCell ref="U21:V21"/>
    <mergeCell ref="U22:V22"/>
    <mergeCell ref="U23:V23"/>
    <mergeCell ref="U24:V24"/>
    <mergeCell ref="U25:V25"/>
    <mergeCell ref="R22:S22"/>
    <mergeCell ref="R23:S23"/>
    <mergeCell ref="R24:S24"/>
    <mergeCell ref="R25:S25"/>
    <mergeCell ref="R19:S19"/>
    <mergeCell ref="R20:S20"/>
    <mergeCell ref="U20:V20"/>
    <mergeCell ref="X20:Y20"/>
    <mergeCell ref="R21:S21"/>
    <mergeCell ref="B55:C55"/>
    <mergeCell ref="E55:F55"/>
    <mergeCell ref="H55:I55"/>
    <mergeCell ref="E56:F56"/>
    <mergeCell ref="H56:I56"/>
    <mergeCell ref="B56:C56"/>
    <mergeCell ref="X21:Y21"/>
    <mergeCell ref="X22:Y22"/>
    <mergeCell ref="U38:V38"/>
    <mergeCell ref="U39:V39"/>
    <mergeCell ref="U40:V40"/>
    <mergeCell ref="U41:V41"/>
    <mergeCell ref="U42:V42"/>
    <mergeCell ref="U31:V31"/>
    <mergeCell ref="U32:V32"/>
    <mergeCell ref="U33:V33"/>
    <mergeCell ref="U34:V34"/>
    <mergeCell ref="U35:V35"/>
    <mergeCell ref="U36:V36"/>
    <mergeCell ref="U37:V37"/>
    <mergeCell ref="X33:Y33"/>
    <mergeCell ref="X34:Y34"/>
    <mergeCell ref="X35:Y35"/>
    <mergeCell ref="X36:Y36"/>
    <mergeCell ref="X37:Y37"/>
    <mergeCell ref="X38:Y38"/>
    <mergeCell ref="X39:Y39"/>
    <mergeCell ref="R39:S39"/>
    <mergeCell ref="R40:S40"/>
    <mergeCell ref="R41:S41"/>
    <mergeCell ref="R42:S42"/>
    <mergeCell ref="R32:S32"/>
    <mergeCell ref="E48:F48"/>
    <mergeCell ref="E49:F49"/>
    <mergeCell ref="B50:C50"/>
    <mergeCell ref="E50:F50"/>
    <mergeCell ref="H50:I50"/>
    <mergeCell ref="E51:F51"/>
    <mergeCell ref="H51:I51"/>
    <mergeCell ref="B51:C51"/>
    <mergeCell ref="B52:C52"/>
    <mergeCell ref="E52:F52"/>
    <mergeCell ref="H52:I52"/>
    <mergeCell ref="B53:C53"/>
    <mergeCell ref="H53:I53"/>
    <mergeCell ref="B54:C54"/>
    <mergeCell ref="H54:I54"/>
    <mergeCell ref="E53:F53"/>
    <mergeCell ref="E54:F54"/>
    <mergeCell ref="B57:C57"/>
    <mergeCell ref="E57:F57"/>
    <mergeCell ref="H57:I57"/>
    <mergeCell ref="B58:C58"/>
    <mergeCell ref="H58:I58"/>
    <mergeCell ref="B59:C59"/>
    <mergeCell ref="H59:I59"/>
    <mergeCell ref="E63:F63"/>
    <mergeCell ref="E64:F64"/>
    <mergeCell ref="E58:F58"/>
    <mergeCell ref="E59:F59"/>
    <mergeCell ref="H60:I60"/>
    <mergeCell ref="B62:I62"/>
    <mergeCell ref="B63:C63"/>
    <mergeCell ref="H63:I63"/>
    <mergeCell ref="H64:I64"/>
    <mergeCell ref="E66:F66"/>
    <mergeCell ref="E67:F67"/>
    <mergeCell ref="B64:C64"/>
    <mergeCell ref="B65:C65"/>
    <mergeCell ref="E65:F65"/>
    <mergeCell ref="H65:I65"/>
    <mergeCell ref="B66:C66"/>
    <mergeCell ref="H66:I66"/>
    <mergeCell ref="H67:I67"/>
    <mergeCell ref="E69:F69"/>
    <mergeCell ref="E70:F70"/>
    <mergeCell ref="B67:C67"/>
    <mergeCell ref="B68:C68"/>
    <mergeCell ref="E68:F68"/>
    <mergeCell ref="H68:I68"/>
    <mergeCell ref="B69:C69"/>
    <mergeCell ref="H69:I69"/>
    <mergeCell ref="H70:I70"/>
    <mergeCell ref="E72:F72"/>
    <mergeCell ref="E73:F73"/>
    <mergeCell ref="B70:C70"/>
    <mergeCell ref="B71:C71"/>
    <mergeCell ref="E71:F71"/>
    <mergeCell ref="H71:I71"/>
    <mergeCell ref="B72:C72"/>
    <mergeCell ref="H72:I72"/>
    <mergeCell ref="H73:I73"/>
    <mergeCell ref="E75:F75"/>
    <mergeCell ref="E76:F76"/>
    <mergeCell ref="B73:C73"/>
    <mergeCell ref="B74:C74"/>
    <mergeCell ref="E74:F74"/>
    <mergeCell ref="H74:I74"/>
    <mergeCell ref="B75:C75"/>
    <mergeCell ref="H75:I75"/>
    <mergeCell ref="B76:C76"/>
    <mergeCell ref="R57:S57"/>
    <mergeCell ref="R58:S58"/>
    <mergeCell ref="R59:S59"/>
    <mergeCell ref="X57:Y57"/>
    <mergeCell ref="X58:Y58"/>
    <mergeCell ref="X59:Y59"/>
    <mergeCell ref="X60:Y60"/>
    <mergeCell ref="R62:Y62"/>
    <mergeCell ref="U63:V63"/>
    <mergeCell ref="X63:Y63"/>
    <mergeCell ref="U68:V68"/>
    <mergeCell ref="U69:V69"/>
    <mergeCell ref="R66:S66"/>
    <mergeCell ref="R67:S67"/>
    <mergeCell ref="U67:V67"/>
    <mergeCell ref="X67:Y67"/>
    <mergeCell ref="R68:S68"/>
    <mergeCell ref="X68:Y68"/>
    <mergeCell ref="X69:Y69"/>
    <mergeCell ref="U65:V65"/>
    <mergeCell ref="U66:V66"/>
    <mergeCell ref="R63:S63"/>
    <mergeCell ref="R64:S64"/>
    <mergeCell ref="U64:V64"/>
    <mergeCell ref="X64:Y64"/>
    <mergeCell ref="R65:S65"/>
    <mergeCell ref="X65:Y65"/>
    <mergeCell ref="X66:Y66"/>
    <mergeCell ref="U71:V71"/>
    <mergeCell ref="U72:V72"/>
    <mergeCell ref="R69:S69"/>
    <mergeCell ref="R70:S70"/>
    <mergeCell ref="U70:V70"/>
    <mergeCell ref="X70:Y70"/>
    <mergeCell ref="R71:S71"/>
    <mergeCell ref="X71:Y71"/>
    <mergeCell ref="X72:Y72"/>
    <mergeCell ref="U74:V74"/>
    <mergeCell ref="U75:V75"/>
    <mergeCell ref="R72:S72"/>
    <mergeCell ref="R73:S73"/>
    <mergeCell ref="U73:V73"/>
    <mergeCell ref="X73:Y73"/>
    <mergeCell ref="R74:S74"/>
    <mergeCell ref="X74:Y74"/>
    <mergeCell ref="X75:Y75"/>
    <mergeCell ref="U80:V80"/>
    <mergeCell ref="X80:Y80"/>
    <mergeCell ref="R75:S75"/>
    <mergeCell ref="R76:S76"/>
    <mergeCell ref="U76:V76"/>
    <mergeCell ref="X76:Y76"/>
    <mergeCell ref="X77:Y77"/>
    <mergeCell ref="R79:Y79"/>
    <mergeCell ref="R80:S80"/>
    <mergeCell ref="X40:Y40"/>
    <mergeCell ref="X41:Y41"/>
    <mergeCell ref="X42:Y42"/>
    <mergeCell ref="X43:Y43"/>
    <mergeCell ref="R45:Y45"/>
    <mergeCell ref="U46:V46"/>
    <mergeCell ref="X46:Y46"/>
    <mergeCell ref="R46:S46"/>
    <mergeCell ref="R47:S47"/>
    <mergeCell ref="U47:V47"/>
    <mergeCell ref="X47:Y47"/>
    <mergeCell ref="R48:S48"/>
    <mergeCell ref="X48:Y48"/>
    <mergeCell ref="X49:Y49"/>
    <mergeCell ref="U55:V55"/>
    <mergeCell ref="U56:V56"/>
    <mergeCell ref="U57:V57"/>
    <mergeCell ref="U58:V58"/>
    <mergeCell ref="U59:V59"/>
    <mergeCell ref="U48:V48"/>
    <mergeCell ref="U49:V49"/>
    <mergeCell ref="U50:V50"/>
    <mergeCell ref="U51:V51"/>
    <mergeCell ref="U52:V52"/>
    <mergeCell ref="U53:V53"/>
    <mergeCell ref="U54:V54"/>
    <mergeCell ref="R49:S49"/>
    <mergeCell ref="R50:S50"/>
    <mergeCell ref="R51:S51"/>
    <mergeCell ref="R52:S52"/>
    <mergeCell ref="R53:S53"/>
    <mergeCell ref="R54:S54"/>
    <mergeCell ref="R55:S55"/>
    <mergeCell ref="X50:Y50"/>
    <mergeCell ref="X51:Y51"/>
    <mergeCell ref="X52:Y52"/>
    <mergeCell ref="X53:Y53"/>
    <mergeCell ref="X54:Y54"/>
    <mergeCell ref="X55:Y55"/>
    <mergeCell ref="X56:Y56"/>
    <mergeCell ref="R56:S56"/>
    <mergeCell ref="X82:Y82"/>
    <mergeCell ref="X83:Y83"/>
    <mergeCell ref="U100:V100"/>
    <mergeCell ref="U101:V101"/>
    <mergeCell ref="R98:S98"/>
    <mergeCell ref="R99:S99"/>
    <mergeCell ref="U99:V99"/>
    <mergeCell ref="X99:Y99"/>
    <mergeCell ref="R100:S100"/>
    <mergeCell ref="X100:Y100"/>
    <mergeCell ref="X101:Y101"/>
    <mergeCell ref="H40:I40"/>
    <mergeCell ref="H41:I41"/>
    <mergeCell ref="H42:I42"/>
    <mergeCell ref="H43:I43"/>
    <mergeCell ref="B45:I45"/>
    <mergeCell ref="E46:F46"/>
    <mergeCell ref="H46:I46"/>
    <mergeCell ref="B46:C46"/>
    <mergeCell ref="B47:C47"/>
    <mergeCell ref="E47:F47"/>
    <mergeCell ref="H47:I47"/>
    <mergeCell ref="B48:C48"/>
    <mergeCell ref="H48:I48"/>
    <mergeCell ref="B49:C49"/>
    <mergeCell ref="H49:I49"/>
    <mergeCell ref="E82:F82"/>
    <mergeCell ref="E83:F83"/>
    <mergeCell ref="E84:F84"/>
    <mergeCell ref="E85:F85"/>
    <mergeCell ref="E86:F86"/>
    <mergeCell ref="E87:F87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37:F37"/>
    <mergeCell ref="B39:C39"/>
    <mergeCell ref="B40:C40"/>
    <mergeCell ref="B41:C41"/>
    <mergeCell ref="B42:C42"/>
    <mergeCell ref="B32:C32"/>
    <mergeCell ref="B33:C33"/>
    <mergeCell ref="B34:C34"/>
    <mergeCell ref="B35:C35"/>
    <mergeCell ref="B36:C36"/>
    <mergeCell ref="B37:C37"/>
    <mergeCell ref="B38:C38"/>
    <mergeCell ref="H33:I33"/>
    <mergeCell ref="H34:I34"/>
    <mergeCell ref="H35:I35"/>
    <mergeCell ref="H36:I36"/>
    <mergeCell ref="H37:I37"/>
    <mergeCell ref="H38:I38"/>
    <mergeCell ref="H39:I39"/>
    <mergeCell ref="H80:I80"/>
    <mergeCell ref="H81:I81"/>
    <mergeCell ref="E97:F97"/>
    <mergeCell ref="H97:I97"/>
    <mergeCell ref="H90:I90"/>
    <mergeCell ref="H91:I91"/>
    <mergeCell ref="H92:I92"/>
    <mergeCell ref="H93:I93"/>
    <mergeCell ref="H94:I94"/>
    <mergeCell ref="B96:I96"/>
    <mergeCell ref="B97:C97"/>
    <mergeCell ref="H76:I76"/>
    <mergeCell ref="H77:I77"/>
    <mergeCell ref="B79:I79"/>
    <mergeCell ref="B80:C80"/>
    <mergeCell ref="E80:F80"/>
    <mergeCell ref="B81:C81"/>
    <mergeCell ref="H82:I82"/>
    <mergeCell ref="E88:F88"/>
    <mergeCell ref="E89:F89"/>
    <mergeCell ref="E90:F90"/>
    <mergeCell ref="E91:F91"/>
    <mergeCell ref="E92:F92"/>
    <mergeCell ref="E93:F93"/>
    <mergeCell ref="E81:F81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88:C88"/>
    <mergeCell ref="H83:I83"/>
    <mergeCell ref="H84:I84"/>
    <mergeCell ref="H85:I85"/>
    <mergeCell ref="H86:I86"/>
    <mergeCell ref="H87:I87"/>
    <mergeCell ref="H88:I88"/>
    <mergeCell ref="H89:I89"/>
    <mergeCell ref="H99:I99"/>
    <mergeCell ref="H100:I100"/>
    <mergeCell ref="E117:F117"/>
    <mergeCell ref="E118:F118"/>
    <mergeCell ref="B115:C115"/>
    <mergeCell ref="B116:C116"/>
    <mergeCell ref="E116:F116"/>
    <mergeCell ref="H116:I116"/>
    <mergeCell ref="B117:C117"/>
    <mergeCell ref="H117:I117"/>
    <mergeCell ref="H118:I118"/>
    <mergeCell ref="E120:F120"/>
    <mergeCell ref="E121:F121"/>
    <mergeCell ref="B118:C118"/>
    <mergeCell ref="B119:C119"/>
    <mergeCell ref="E119:F119"/>
    <mergeCell ref="H119:I119"/>
    <mergeCell ref="B120:C120"/>
    <mergeCell ref="H120:I120"/>
    <mergeCell ref="H121:I121"/>
    <mergeCell ref="H106:I106"/>
    <mergeCell ref="H107:I107"/>
    <mergeCell ref="H108:I108"/>
    <mergeCell ref="B121:C121"/>
    <mergeCell ref="B122:C122"/>
    <mergeCell ref="E122:F122"/>
    <mergeCell ref="H122:I122"/>
    <mergeCell ref="B123:C123"/>
    <mergeCell ref="H123:I123"/>
    <mergeCell ref="H124:I124"/>
    <mergeCell ref="H160:I160"/>
    <mergeCell ref="H161:I161"/>
    <mergeCell ref="H162:I162"/>
    <mergeCell ref="B164:I164"/>
    <mergeCell ref="E165:F165"/>
    <mergeCell ref="H165:I165"/>
    <mergeCell ref="H166:I166"/>
    <mergeCell ref="B159:C159"/>
    <mergeCell ref="B160:C160"/>
    <mergeCell ref="B161:C161"/>
    <mergeCell ref="B162:C162"/>
    <mergeCell ref="B163:C163"/>
    <mergeCell ref="B165:C165"/>
    <mergeCell ref="B166:C166"/>
    <mergeCell ref="B149:C149"/>
    <mergeCell ref="E149:F149"/>
    <mergeCell ref="H149:I149"/>
    <mergeCell ref="B150:C150"/>
    <mergeCell ref="E150:F150"/>
    <mergeCell ref="B151:C151"/>
    <mergeCell ref="H152:I152"/>
    <mergeCell ref="E158:F158"/>
    <mergeCell ref="E159:F159"/>
    <mergeCell ref="E156:F156"/>
    <mergeCell ref="E157:F157"/>
    <mergeCell ref="B152:C152"/>
    <mergeCell ref="B153:C153"/>
    <mergeCell ref="B154:C154"/>
    <mergeCell ref="B155:C155"/>
    <mergeCell ref="B156:C156"/>
    <mergeCell ref="B157:C157"/>
    <mergeCell ref="B158:C158"/>
    <mergeCell ref="H153:I153"/>
    <mergeCell ref="H154:I154"/>
    <mergeCell ref="H155:I155"/>
    <mergeCell ref="H156:I156"/>
    <mergeCell ref="H157:I157"/>
    <mergeCell ref="H158:I158"/>
    <mergeCell ref="H159:I159"/>
    <mergeCell ref="E123:F123"/>
    <mergeCell ref="E124:F124"/>
    <mergeCell ref="B174:C174"/>
    <mergeCell ref="B175:C175"/>
    <mergeCell ref="H175:I175"/>
    <mergeCell ref="B167:C167"/>
    <mergeCell ref="B168:C168"/>
    <mergeCell ref="B169:C169"/>
    <mergeCell ref="B170:C170"/>
    <mergeCell ref="B171:C171"/>
    <mergeCell ref="B172:C172"/>
    <mergeCell ref="B173:C173"/>
    <mergeCell ref="E171:F171"/>
    <mergeCell ref="H171:I171"/>
    <mergeCell ref="E172:F172"/>
    <mergeCell ref="H172:I172"/>
    <mergeCell ref="E173:F173"/>
    <mergeCell ref="H173:I173"/>
    <mergeCell ref="H174:I174"/>
    <mergeCell ref="E174:F174"/>
    <mergeCell ref="E175:F175"/>
    <mergeCell ref="B176:C176"/>
    <mergeCell ref="E176:F176"/>
    <mergeCell ref="H176:I176"/>
    <mergeCell ref="E177:F177"/>
    <mergeCell ref="H177:I177"/>
    <mergeCell ref="E182:F182"/>
    <mergeCell ref="H182:I182"/>
    <mergeCell ref="B177:C177"/>
    <mergeCell ref="B178:C178"/>
    <mergeCell ref="E178:F178"/>
    <mergeCell ref="H178:I178"/>
    <mergeCell ref="H179:I179"/>
    <mergeCell ref="B181:I181"/>
    <mergeCell ref="B182:C182"/>
    <mergeCell ref="B183:C183"/>
    <mergeCell ref="E183:F183"/>
    <mergeCell ref="H183:I183"/>
    <mergeCell ref="B184:C184"/>
    <mergeCell ref="E184:F184"/>
    <mergeCell ref="B185:C185"/>
    <mergeCell ref="H186:I186"/>
    <mergeCell ref="H192:I192"/>
    <mergeCell ref="H193:I193"/>
    <mergeCell ref="H184:I184"/>
    <mergeCell ref="H185:I185"/>
    <mergeCell ref="H187:I187"/>
    <mergeCell ref="H188:I188"/>
    <mergeCell ref="H189:I189"/>
    <mergeCell ref="H190:I190"/>
    <mergeCell ref="H191:I191"/>
    <mergeCell ref="X212:Y212"/>
    <mergeCell ref="X213:Y213"/>
    <mergeCell ref="X205:Y205"/>
    <mergeCell ref="X206:Y206"/>
    <mergeCell ref="X207:Y207"/>
    <mergeCell ref="X208:Y208"/>
    <mergeCell ref="X209:Y209"/>
    <mergeCell ref="X210:Y210"/>
    <mergeCell ref="X211:Y211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R200:S200"/>
    <mergeCell ref="U200:V200"/>
    <mergeCell ref="X200:Y200"/>
    <mergeCell ref="U201:V201"/>
    <mergeCell ref="X201:Y201"/>
    <mergeCell ref="R201:S201"/>
    <mergeCell ref="R202:S202"/>
    <mergeCell ref="U202:V202"/>
    <mergeCell ref="X202:Y202"/>
    <mergeCell ref="R203:S203"/>
    <mergeCell ref="X203:Y203"/>
    <mergeCell ref="X204:Y204"/>
    <mergeCell ref="U210:V210"/>
    <mergeCell ref="U211:V211"/>
    <mergeCell ref="U212:V212"/>
    <mergeCell ref="U203:V203"/>
    <mergeCell ref="U204:V204"/>
    <mergeCell ref="U205:V205"/>
    <mergeCell ref="U206:V206"/>
    <mergeCell ref="U207:V207"/>
    <mergeCell ref="U208:V208"/>
    <mergeCell ref="U209:V209"/>
    <mergeCell ref="R204:S204"/>
    <mergeCell ref="R205:S205"/>
    <mergeCell ref="R206:S206"/>
    <mergeCell ref="R207:S207"/>
    <mergeCell ref="R208:S208"/>
    <mergeCell ref="R209:S209"/>
    <mergeCell ref="R210:S210"/>
    <mergeCell ref="X216:Y216"/>
    <mergeCell ref="X217:Y217"/>
    <mergeCell ref="U233:V233"/>
    <mergeCell ref="X233:Y233"/>
    <mergeCell ref="X226:Y226"/>
    <mergeCell ref="X227:Y227"/>
    <mergeCell ref="X228:Y228"/>
    <mergeCell ref="X229:Y229"/>
    <mergeCell ref="X230:Y230"/>
    <mergeCell ref="R232:Y232"/>
    <mergeCell ref="R233:S233"/>
    <mergeCell ref="R234:S234"/>
    <mergeCell ref="U234:V234"/>
    <mergeCell ref="X234:Y234"/>
    <mergeCell ref="R235:S235"/>
    <mergeCell ref="U235:V235"/>
    <mergeCell ref="R236:S236"/>
    <mergeCell ref="R229:S229"/>
    <mergeCell ref="R218:S218"/>
    <mergeCell ref="R219:S219"/>
    <mergeCell ref="R220:S220"/>
    <mergeCell ref="R221:S221"/>
    <mergeCell ref="R222:S222"/>
    <mergeCell ref="R223:S223"/>
    <mergeCell ref="R224:S224"/>
    <mergeCell ref="X219:Y219"/>
    <mergeCell ref="X220:Y220"/>
    <mergeCell ref="X221:Y221"/>
    <mergeCell ref="X222:Y222"/>
    <mergeCell ref="X223:Y223"/>
    <mergeCell ref="X224:Y224"/>
    <mergeCell ref="X225:Y225"/>
    <mergeCell ref="X237:Y237"/>
    <mergeCell ref="U243:V243"/>
    <mergeCell ref="U244:V244"/>
    <mergeCell ref="U245:V245"/>
    <mergeCell ref="U246:V246"/>
    <mergeCell ref="U236:V236"/>
    <mergeCell ref="U237:V237"/>
    <mergeCell ref="U238:V238"/>
    <mergeCell ref="U239:V239"/>
    <mergeCell ref="U240:V240"/>
    <mergeCell ref="U241:V241"/>
    <mergeCell ref="U242:V242"/>
    <mergeCell ref="R244:S244"/>
    <mergeCell ref="R245:S245"/>
    <mergeCell ref="R246:S246"/>
    <mergeCell ref="R237:S237"/>
    <mergeCell ref="R238:S238"/>
    <mergeCell ref="R239:S239"/>
    <mergeCell ref="R240:S240"/>
    <mergeCell ref="R241:S241"/>
    <mergeCell ref="R242:S242"/>
    <mergeCell ref="R243:S243"/>
    <mergeCell ref="X245:Y245"/>
    <mergeCell ref="X246:Y246"/>
    <mergeCell ref="X247:Y247"/>
    <mergeCell ref="X238:Y238"/>
    <mergeCell ref="X239:Y239"/>
    <mergeCell ref="X240:Y240"/>
    <mergeCell ref="X241:Y241"/>
    <mergeCell ref="X242:Y242"/>
    <mergeCell ref="X243:Y243"/>
    <mergeCell ref="X244:Y244"/>
    <mergeCell ref="R211:S211"/>
    <mergeCell ref="R212:S212"/>
    <mergeCell ref="R215:Y215"/>
    <mergeCell ref="R216:S216"/>
    <mergeCell ref="U216:V216"/>
    <mergeCell ref="R217:S217"/>
    <mergeCell ref="X218:Y218"/>
    <mergeCell ref="U224:V224"/>
    <mergeCell ref="U225:V225"/>
    <mergeCell ref="U226:V226"/>
    <mergeCell ref="U227:V227"/>
    <mergeCell ref="U228:V228"/>
    <mergeCell ref="U229:V229"/>
    <mergeCell ref="U217:V217"/>
    <mergeCell ref="U218:V218"/>
    <mergeCell ref="U219:V219"/>
    <mergeCell ref="U220:V220"/>
    <mergeCell ref="U221:V221"/>
    <mergeCell ref="U222:V222"/>
    <mergeCell ref="U223:V223"/>
    <mergeCell ref="R225:S225"/>
    <mergeCell ref="R226:S226"/>
    <mergeCell ref="R227:S227"/>
    <mergeCell ref="R228:S228"/>
    <mergeCell ref="X235:Y235"/>
    <mergeCell ref="X236:Y236"/>
    <mergeCell ref="E211:F211"/>
    <mergeCell ref="E212:F212"/>
    <mergeCell ref="H207:I207"/>
    <mergeCell ref="H208:I208"/>
    <mergeCell ref="E209:F209"/>
    <mergeCell ref="H209:I209"/>
    <mergeCell ref="E210:F210"/>
    <mergeCell ref="H210:I210"/>
    <mergeCell ref="H211:I211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E194:F194"/>
    <mergeCell ref="H194:I194"/>
    <mergeCell ref="E195:F195"/>
    <mergeCell ref="H195:I195"/>
    <mergeCell ref="H196:I196"/>
    <mergeCell ref="H201:I201"/>
    <mergeCell ref="H202:I202"/>
    <mergeCell ref="B198:I198"/>
    <mergeCell ref="E199:F199"/>
    <mergeCell ref="H199:I199"/>
    <mergeCell ref="E200:F200"/>
    <mergeCell ref="H200:I200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195:C195"/>
    <mergeCell ref="B199:C199"/>
    <mergeCell ref="B200:C200"/>
    <mergeCell ref="B201:C201"/>
    <mergeCell ref="B202:C202"/>
    <mergeCell ref="B203:C203"/>
    <mergeCell ref="B204:C204"/>
    <mergeCell ref="E206:F206"/>
    <mergeCell ref="E207:F207"/>
    <mergeCell ref="E208:F208"/>
    <mergeCell ref="E203:F203"/>
    <mergeCell ref="H216:I216"/>
    <mergeCell ref="H217:I217"/>
    <mergeCell ref="E233:F233"/>
    <mergeCell ref="H233:I233"/>
    <mergeCell ref="H226:I226"/>
    <mergeCell ref="H227:I227"/>
    <mergeCell ref="H228:I228"/>
    <mergeCell ref="H229:I229"/>
    <mergeCell ref="H230:I230"/>
    <mergeCell ref="B232:I232"/>
    <mergeCell ref="B233:C233"/>
    <mergeCell ref="B234:C234"/>
    <mergeCell ref="E234:F234"/>
    <mergeCell ref="H234:I234"/>
    <mergeCell ref="B235:C235"/>
    <mergeCell ref="E235:F235"/>
    <mergeCell ref="B236:C236"/>
    <mergeCell ref="B229:C229"/>
    <mergeCell ref="B218:C218"/>
    <mergeCell ref="B219:C219"/>
    <mergeCell ref="B220:C220"/>
    <mergeCell ref="B221:C221"/>
    <mergeCell ref="B222:C222"/>
    <mergeCell ref="B223:C223"/>
    <mergeCell ref="B224:C224"/>
    <mergeCell ref="H219:I219"/>
    <mergeCell ref="H220:I220"/>
    <mergeCell ref="H221:I221"/>
    <mergeCell ref="H222:I222"/>
    <mergeCell ref="H223:I223"/>
    <mergeCell ref="H224:I224"/>
    <mergeCell ref="H225:I225"/>
    <mergeCell ref="H237:I237"/>
    <mergeCell ref="E243:F243"/>
    <mergeCell ref="E244:F244"/>
    <mergeCell ref="E245:F245"/>
    <mergeCell ref="E246:F246"/>
    <mergeCell ref="E236:F236"/>
    <mergeCell ref="E237:F237"/>
    <mergeCell ref="E238:F238"/>
    <mergeCell ref="E239:F239"/>
    <mergeCell ref="E240:F240"/>
    <mergeCell ref="E241:F241"/>
    <mergeCell ref="E242:F242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42:C242"/>
    <mergeCell ref="B243:C243"/>
    <mergeCell ref="H245:I245"/>
    <mergeCell ref="H246:I246"/>
    <mergeCell ref="H247:I247"/>
    <mergeCell ref="H238:I238"/>
    <mergeCell ref="H239:I239"/>
    <mergeCell ref="H240:I240"/>
    <mergeCell ref="H241:I241"/>
    <mergeCell ref="H242:I242"/>
    <mergeCell ref="H243:I243"/>
    <mergeCell ref="H244:I244"/>
    <mergeCell ref="H212:I212"/>
    <mergeCell ref="H213:I213"/>
    <mergeCell ref="B215:I215"/>
    <mergeCell ref="B216:C216"/>
    <mergeCell ref="E216:F216"/>
    <mergeCell ref="B217:C217"/>
    <mergeCell ref="H218:I218"/>
    <mergeCell ref="E224:F224"/>
    <mergeCell ref="E225:F225"/>
    <mergeCell ref="E226:F226"/>
    <mergeCell ref="E227:F227"/>
    <mergeCell ref="E228:F228"/>
    <mergeCell ref="E229:F229"/>
    <mergeCell ref="E217:F217"/>
    <mergeCell ref="E218:F218"/>
    <mergeCell ref="E219:F219"/>
    <mergeCell ref="E220:F220"/>
    <mergeCell ref="E221:F221"/>
    <mergeCell ref="E222:F222"/>
    <mergeCell ref="E223:F223"/>
    <mergeCell ref="B225:C225"/>
    <mergeCell ref="B226:C226"/>
    <mergeCell ref="B227:C227"/>
    <mergeCell ref="B228:C228"/>
    <mergeCell ref="H235:I235"/>
    <mergeCell ref="H236:I236"/>
    <mergeCell ref="E114:F114"/>
    <mergeCell ref="E115:F115"/>
    <mergeCell ref="H109:I109"/>
    <mergeCell ref="H110:I110"/>
    <mergeCell ref="H111:I111"/>
    <mergeCell ref="B113:I113"/>
    <mergeCell ref="B114:C114"/>
    <mergeCell ref="H114:I114"/>
    <mergeCell ref="H115:I115"/>
    <mergeCell ref="E126:F126"/>
    <mergeCell ref="E127:F127"/>
    <mergeCell ref="B124:C124"/>
    <mergeCell ref="B125:C125"/>
    <mergeCell ref="E125:F125"/>
    <mergeCell ref="H125:I125"/>
    <mergeCell ref="B126:C126"/>
    <mergeCell ref="H126:I126"/>
    <mergeCell ref="B127:C127"/>
    <mergeCell ref="H131:I131"/>
    <mergeCell ref="H132:I132"/>
    <mergeCell ref="E148:F148"/>
    <mergeCell ref="H148:I148"/>
    <mergeCell ref="H141:I141"/>
    <mergeCell ref="H142:I142"/>
    <mergeCell ref="H143:I143"/>
    <mergeCell ref="H144:I144"/>
    <mergeCell ref="H145:I145"/>
    <mergeCell ref="B147:I147"/>
    <mergeCell ref="B148:C148"/>
    <mergeCell ref="H127:I127"/>
    <mergeCell ref="B98:C98"/>
    <mergeCell ref="E98:F98"/>
    <mergeCell ref="H98:I98"/>
    <mergeCell ref="B99:C99"/>
    <mergeCell ref="E99:F99"/>
    <mergeCell ref="B100:C100"/>
    <mergeCell ref="H101:I101"/>
    <mergeCell ref="E107:F107"/>
    <mergeCell ref="E108:F108"/>
    <mergeCell ref="E109:F109"/>
    <mergeCell ref="E110:F110"/>
    <mergeCell ref="E100:F100"/>
    <mergeCell ref="E101:F101"/>
    <mergeCell ref="E102:F102"/>
    <mergeCell ref="E103:F103"/>
    <mergeCell ref="E104:F104"/>
    <mergeCell ref="E105:F105"/>
    <mergeCell ref="E106:F106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06:C106"/>
    <mergeCell ref="B107:C107"/>
    <mergeCell ref="H102:I102"/>
    <mergeCell ref="H103:I103"/>
    <mergeCell ref="H104:I104"/>
    <mergeCell ref="H105:I105"/>
    <mergeCell ref="H128:I128"/>
    <mergeCell ref="B130:I130"/>
    <mergeCell ref="B131:C131"/>
    <mergeCell ref="E131:F131"/>
    <mergeCell ref="B132:C132"/>
    <mergeCell ref="H133:I133"/>
    <mergeCell ref="E139:F139"/>
    <mergeCell ref="E140:F140"/>
    <mergeCell ref="E141:F141"/>
    <mergeCell ref="E142:F142"/>
    <mergeCell ref="E143:F143"/>
    <mergeCell ref="E144:F144"/>
    <mergeCell ref="E132:F132"/>
    <mergeCell ref="E133:F133"/>
    <mergeCell ref="E134:F134"/>
    <mergeCell ref="E135:F135"/>
    <mergeCell ref="E136:F136"/>
    <mergeCell ref="E137:F137"/>
    <mergeCell ref="E138:F138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39:C139"/>
    <mergeCell ref="H134:I134"/>
    <mergeCell ref="H203:I203"/>
    <mergeCell ref="E204:F204"/>
    <mergeCell ref="H204:I204"/>
    <mergeCell ref="E205:F205"/>
    <mergeCell ref="H205:I205"/>
    <mergeCell ref="H206:I206"/>
    <mergeCell ref="H135:I135"/>
    <mergeCell ref="H136:I136"/>
    <mergeCell ref="H137:I137"/>
    <mergeCell ref="H138:I138"/>
    <mergeCell ref="H139:I139"/>
    <mergeCell ref="H140:I140"/>
    <mergeCell ref="H150:I150"/>
    <mergeCell ref="H151:I151"/>
    <mergeCell ref="H169:I169"/>
    <mergeCell ref="H170:I170"/>
    <mergeCell ref="E166:F166"/>
    <mergeCell ref="E167:F167"/>
    <mergeCell ref="H167:I167"/>
    <mergeCell ref="E168:F168"/>
    <mergeCell ref="H168:I168"/>
    <mergeCell ref="E169:F169"/>
    <mergeCell ref="E170:F170"/>
    <mergeCell ref="E201:F201"/>
    <mergeCell ref="E202:F202"/>
    <mergeCell ref="E160:F160"/>
    <mergeCell ref="E161:F161"/>
    <mergeCell ref="E151:F151"/>
    <mergeCell ref="E152:F152"/>
    <mergeCell ref="E153:F153"/>
    <mergeCell ref="E154:F154"/>
    <mergeCell ref="E155:F155"/>
  </mergeCells>
  <conditionalFormatting sqref="A1:Z248">
    <cfRule type="cellIs" dxfId="17" priority="1" operator="equal">
      <formula>"Leaf"</formula>
    </cfRule>
    <cfRule type="cellIs" dxfId="16" priority="2" operator="equal">
      <formula>"Sand"</formula>
    </cfRule>
    <cfRule type="cellIs" dxfId="15" priority="3" operator="equal">
      <formula>"Water"</formula>
    </cfRule>
    <cfRule type="cellIs" dxfId="14" priority="4" operator="equal">
      <formula>"Lightning"</formula>
    </cfRule>
    <cfRule type="cellIs" dxfId="13" priority="5" operator="equal">
      <formula>"Poison"</formula>
    </cfRule>
    <cfRule type="cellIs" dxfId="12" priority="6" operator="equal">
      <formula>"Beetle"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30"/>
  <sheetViews>
    <sheetView workbookViewId="0"/>
  </sheetViews>
  <sheetFormatPr defaultColWidth="12.6640625" defaultRowHeight="15.75" customHeight="1"/>
  <cols>
    <col min="1" max="3" width="12.6640625" customWidth="1"/>
  </cols>
  <sheetData>
    <row r="1" spans="1:3" ht="75" customHeight="1">
      <c r="A1" s="47" t="s">
        <v>361</v>
      </c>
      <c r="B1" s="48" t="s">
        <v>362</v>
      </c>
      <c r="C1" s="47" t="s">
        <v>363</v>
      </c>
    </row>
    <row r="2" spans="1:3" ht="75" customHeight="1">
      <c r="A2" s="45" t="s">
        <v>0</v>
      </c>
      <c r="B2" s="49" t="s">
        <v>364</v>
      </c>
      <c r="C2" s="45" t="e">
        <f t="shared" ref="C2:C30" ca="1" si="0">IF(B2="",A2,_xludf.IMAGE(B2))</f>
        <v>#NAME?</v>
      </c>
    </row>
    <row r="3" spans="1:3" ht="75" customHeight="1">
      <c r="A3" s="45" t="s">
        <v>1</v>
      </c>
      <c r="B3" s="49" t="s">
        <v>365</v>
      </c>
      <c r="C3" s="45" t="e">
        <f t="shared" ca="1" si="0"/>
        <v>#NAME?</v>
      </c>
    </row>
    <row r="4" spans="1:3" ht="75" customHeight="1">
      <c r="A4" s="45" t="s">
        <v>2</v>
      </c>
      <c r="B4" s="49" t="s">
        <v>366</v>
      </c>
      <c r="C4" s="45" t="e">
        <f t="shared" ca="1" si="0"/>
        <v>#NAME?</v>
      </c>
    </row>
    <row r="5" spans="1:3" ht="75" customHeight="1">
      <c r="A5" s="45" t="s">
        <v>3</v>
      </c>
      <c r="B5" s="49" t="s">
        <v>367</v>
      </c>
      <c r="C5" s="45" t="e">
        <f t="shared" ca="1" si="0"/>
        <v>#NAME?</v>
      </c>
    </row>
    <row r="6" spans="1:3" ht="75" customHeight="1">
      <c r="A6" s="45" t="s">
        <v>4</v>
      </c>
      <c r="B6" s="49" t="s">
        <v>368</v>
      </c>
      <c r="C6" s="45" t="e">
        <f t="shared" ca="1" si="0"/>
        <v>#NAME?</v>
      </c>
    </row>
    <row r="7" spans="1:3" ht="75" customHeight="1">
      <c r="A7" s="45" t="s">
        <v>5</v>
      </c>
      <c r="B7" s="49" t="s">
        <v>369</v>
      </c>
      <c r="C7" s="45" t="e">
        <f t="shared" ca="1" si="0"/>
        <v>#NAME?</v>
      </c>
    </row>
    <row r="8" spans="1:3" ht="75" customHeight="1">
      <c r="A8" s="45" t="s">
        <v>6</v>
      </c>
      <c r="B8" s="49" t="s">
        <v>370</v>
      </c>
      <c r="C8" s="45" t="e">
        <f t="shared" ca="1" si="0"/>
        <v>#NAME?</v>
      </c>
    </row>
    <row r="9" spans="1:3" ht="75" customHeight="1">
      <c r="A9" s="45" t="s">
        <v>7</v>
      </c>
      <c r="B9" s="49" t="s">
        <v>371</v>
      </c>
      <c r="C9" s="45" t="e">
        <f t="shared" ca="1" si="0"/>
        <v>#NAME?</v>
      </c>
    </row>
    <row r="10" spans="1:3" ht="75" customHeight="1">
      <c r="A10" s="45" t="s">
        <v>8</v>
      </c>
      <c r="B10" s="49" t="s">
        <v>372</v>
      </c>
      <c r="C10" s="45" t="e">
        <f t="shared" ca="1" si="0"/>
        <v>#NAME?</v>
      </c>
    </row>
    <row r="11" spans="1:3" ht="75" customHeight="1">
      <c r="A11" s="45" t="s">
        <v>9</v>
      </c>
      <c r="B11" s="49" t="s">
        <v>373</v>
      </c>
      <c r="C11" s="45" t="e">
        <f t="shared" ca="1" si="0"/>
        <v>#NAME?</v>
      </c>
    </row>
    <row r="12" spans="1:3" ht="75" customHeight="1">
      <c r="A12" s="45" t="s">
        <v>10</v>
      </c>
      <c r="B12" s="49" t="s">
        <v>374</v>
      </c>
      <c r="C12" s="45" t="e">
        <f t="shared" ca="1" si="0"/>
        <v>#NAME?</v>
      </c>
    </row>
    <row r="13" spans="1:3" ht="75" customHeight="1">
      <c r="A13" s="45" t="s">
        <v>11</v>
      </c>
      <c r="B13" s="49" t="s">
        <v>375</v>
      </c>
      <c r="C13" s="45" t="e">
        <f t="shared" ca="1" si="0"/>
        <v>#NAME?</v>
      </c>
    </row>
    <row r="14" spans="1:3" ht="75" customHeight="1">
      <c r="A14" s="45" t="s">
        <v>12</v>
      </c>
      <c r="B14" s="49" t="s">
        <v>376</v>
      </c>
      <c r="C14" s="45" t="e">
        <f t="shared" ca="1" si="0"/>
        <v>#NAME?</v>
      </c>
    </row>
    <row r="15" spans="1:3" ht="75" customHeight="1">
      <c r="A15" s="45" t="s">
        <v>13</v>
      </c>
      <c r="B15" s="49" t="s">
        <v>377</v>
      </c>
      <c r="C15" s="45" t="e">
        <f t="shared" ca="1" si="0"/>
        <v>#NAME?</v>
      </c>
    </row>
    <row r="16" spans="1:3" ht="75" customHeight="1">
      <c r="A16" s="45" t="s">
        <v>18</v>
      </c>
      <c r="B16" s="49" t="s">
        <v>378</v>
      </c>
      <c r="C16" s="45" t="e">
        <f t="shared" ca="1" si="0"/>
        <v>#NAME?</v>
      </c>
    </row>
    <row r="17" spans="1:3" ht="75" customHeight="1">
      <c r="A17" s="45" t="s">
        <v>16</v>
      </c>
      <c r="B17" s="49" t="s">
        <v>379</v>
      </c>
      <c r="C17" s="45" t="e">
        <f t="shared" ca="1" si="0"/>
        <v>#NAME?</v>
      </c>
    </row>
    <row r="18" spans="1:3" ht="75" customHeight="1">
      <c r="A18" s="45" t="s">
        <v>95</v>
      </c>
      <c r="B18" s="49" t="s">
        <v>380</v>
      </c>
      <c r="C18" s="45" t="e">
        <f t="shared" ca="1" si="0"/>
        <v>#NAME?</v>
      </c>
    </row>
    <row r="19" spans="1:3" ht="75" customHeight="1">
      <c r="A19" s="45" t="s">
        <v>20</v>
      </c>
      <c r="B19" s="49" t="s">
        <v>381</v>
      </c>
      <c r="C19" s="45" t="e">
        <f t="shared" ca="1" si="0"/>
        <v>#NAME?</v>
      </c>
    </row>
    <row r="20" spans="1:3" ht="75" customHeight="1">
      <c r="A20" s="45" t="s">
        <v>19</v>
      </c>
      <c r="B20" s="49" t="s">
        <v>382</v>
      </c>
      <c r="C20" s="45" t="e">
        <f t="shared" ca="1" si="0"/>
        <v>#NAME?</v>
      </c>
    </row>
    <row r="21" spans="1:3" ht="75" customHeight="1">
      <c r="A21" s="45" t="s">
        <v>96</v>
      </c>
      <c r="B21" s="49" t="s">
        <v>383</v>
      </c>
      <c r="C21" s="45" t="e">
        <f t="shared" ca="1" si="0"/>
        <v>#NAME?</v>
      </c>
    </row>
    <row r="22" spans="1:3" ht="75" customHeight="1">
      <c r="A22" s="45" t="s">
        <v>17</v>
      </c>
      <c r="B22" s="49" t="s">
        <v>384</v>
      </c>
      <c r="C22" s="45" t="e">
        <f t="shared" ca="1" si="0"/>
        <v>#NAME?</v>
      </c>
    </row>
    <row r="23" spans="1:3" ht="75" customHeight="1">
      <c r="A23" s="45" t="s">
        <v>21</v>
      </c>
      <c r="B23" s="49" t="s">
        <v>385</v>
      </c>
      <c r="C23" s="45" t="e">
        <f t="shared" ca="1" si="0"/>
        <v>#NAME?</v>
      </c>
    </row>
    <row r="24" spans="1:3" ht="75" customHeight="1">
      <c r="A24" s="45"/>
      <c r="B24" s="50"/>
      <c r="C24" s="45">
        <f t="shared" si="0"/>
        <v>0</v>
      </c>
    </row>
    <row r="25" spans="1:3" ht="75" customHeight="1">
      <c r="A25" s="45"/>
      <c r="B25" s="50"/>
      <c r="C25" s="45">
        <f t="shared" si="0"/>
        <v>0</v>
      </c>
    </row>
    <row r="26" spans="1:3" ht="75" customHeight="1">
      <c r="A26" s="45"/>
      <c r="B26" s="50"/>
      <c r="C26" s="45">
        <f t="shared" si="0"/>
        <v>0</v>
      </c>
    </row>
    <row r="27" spans="1:3" ht="75" customHeight="1">
      <c r="A27" s="45"/>
      <c r="B27" s="50"/>
      <c r="C27" s="45">
        <f t="shared" si="0"/>
        <v>0</v>
      </c>
    </row>
    <row r="28" spans="1:3" ht="75" customHeight="1">
      <c r="A28" s="45"/>
      <c r="B28" s="50"/>
      <c r="C28" s="45">
        <f t="shared" si="0"/>
        <v>0</v>
      </c>
    </row>
    <row r="29" spans="1:3" ht="75" customHeight="1">
      <c r="A29" s="45"/>
      <c r="B29" s="50"/>
      <c r="C29" s="45">
        <f t="shared" si="0"/>
        <v>0</v>
      </c>
    </row>
    <row r="30" spans="1:3" ht="75" customHeight="1">
      <c r="A30" s="45"/>
      <c r="B30" s="50"/>
      <c r="C30" s="45">
        <f t="shared" si="0"/>
        <v>0</v>
      </c>
    </row>
  </sheetData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1" max="16" width="12.6640625" customWidth="1"/>
  </cols>
  <sheetData>
    <row r="1" spans="1:16" ht="37.5" customHeight="1">
      <c r="A1" s="63" t="e">
        <f t="array" aca="1" ref="A1" ca="1">"Recipes Remaining:
" &amp; 105-((14 - SUM((COLUMN(C3:P16)-ROW(C3:P16)=0)*IF(C3:P16&lt;&gt;"",1,0)))+IF(COUNTIF(C3:P16,"&lt;&gt;")&gt;=196,0,FLOOR((196-(COUNTIF(C3:P16,"&lt;&gt;")+(14 - SUM((COLUMN(C3:P16)-ROW(C3:P16)=0)*IF(C3:P16&lt;&gt;"",1,0)))))/2,1))) &amp; "/105" &amp; "
% Complete: " &amp; ROUND((105-((14 - SUM((COLUMN(C3:P16)-ROW(C3:P16)=0)*IF(C3:P16&lt;&gt;"",1,0)))+IF(COUNTIF(C3:P16,"&lt;&gt;")&gt;=196,0,FLOOR((196-(COUNTIF(C3:P16,"&lt;&gt;")+(14 - SUM((COLUMN(C3:P16)-ROW(C3:P16)=0)*IF(C3:P16&lt;&gt;"",1,0)))))/2,1))))/105,4) * 100 &amp; "%"</f>
        <v>#NAME?</v>
      </c>
      <c r="B1" s="59"/>
      <c r="C1" s="34" t="s">
        <v>0</v>
      </c>
      <c r="D1" s="34" t="s">
        <v>1</v>
      </c>
      <c r="E1" s="34" t="s">
        <v>2</v>
      </c>
      <c r="F1" s="34" t="s">
        <v>3</v>
      </c>
      <c r="G1" s="34" t="s">
        <v>4</v>
      </c>
      <c r="H1" s="34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</row>
    <row r="2" spans="1:16" ht="37.5" customHeight="1">
      <c r="A2" s="60"/>
      <c r="B2" s="61"/>
      <c r="C2" s="51" t="e">
        <f ca="1">_xludf.IMAGE('Ingredient List'!$K$9)</f>
        <v>#NAME?</v>
      </c>
      <c r="D2" s="51" t="e">
        <f ca="1">_xludf.IMAGE('Ingredient List'!$M$9)</f>
        <v>#NAME?</v>
      </c>
      <c r="E2" s="51" t="e">
        <f ca="1">_xludf.IMAGE('Ingredient List'!$O$9)</f>
        <v>#NAME?</v>
      </c>
      <c r="F2" s="51" t="e">
        <f ca="1">_xludf.IMAGE('Ingredient List'!$Q$9)</f>
        <v>#NAME?</v>
      </c>
      <c r="G2" s="51" t="e">
        <f ca="1">_xludf.IMAGE('Ingredient List'!$K$10)</f>
        <v>#NAME?</v>
      </c>
      <c r="H2" s="51" t="e">
        <f ca="1">_xludf.IMAGE('Ingredient List'!$M$10)</f>
        <v>#NAME?</v>
      </c>
      <c r="I2" s="51" t="e">
        <f ca="1">_xludf.IMAGE('Ingredient List'!$O$10)</f>
        <v>#NAME?</v>
      </c>
      <c r="J2" s="51" t="e">
        <f ca="1">_xludf.IMAGE('Ingredient List'!$Q$10)</f>
        <v>#NAME?</v>
      </c>
      <c r="K2" s="51" t="e">
        <f ca="1">_xludf.IMAGE('Ingredient List'!$K$11)</f>
        <v>#NAME?</v>
      </c>
      <c r="L2" s="51" t="e">
        <f ca="1">_xludf.IMAGE('Ingredient List'!$M$11)</f>
        <v>#NAME?</v>
      </c>
      <c r="M2" s="51" t="e">
        <f ca="1">_xludf.IMAGE('Ingredient List'!$O$11)</f>
        <v>#NAME?</v>
      </c>
      <c r="N2" s="51" t="e">
        <f ca="1">_xludf.IMAGE('Ingredient List'!$Q$11)</f>
        <v>#NAME?</v>
      </c>
      <c r="O2" s="51" t="e">
        <f ca="1">_xludf.IMAGE('Ingredient List'!$K$12)</f>
        <v>#NAME?</v>
      </c>
      <c r="P2" s="51" t="e">
        <f ca="1">_xludf.IMAGE('Ingredient List'!$M$12)</f>
        <v>#NAME?</v>
      </c>
    </row>
    <row r="3" spans="1:16" ht="37.5" customHeight="1">
      <c r="A3" s="34" t="s">
        <v>0</v>
      </c>
      <c r="B3" s="51" t="e">
        <f ca="1">_xludf.IMAGE('Ingredient List'!$K$9)</f>
        <v>#NAME?</v>
      </c>
      <c r="C3" s="35" t="s">
        <v>386</v>
      </c>
      <c r="D3" s="36" t="e">
        <f ca="1">_xludf.IMAGE('Ingredient List'!$O$9)</f>
        <v>#NAME?</v>
      </c>
      <c r="E3" s="36" t="e">
        <f ca="1">_xludf.IMAGE('Ingredient List'!$Q$9)</f>
        <v>#NAME?</v>
      </c>
      <c r="F3" s="36" t="e">
        <f ca="1">_xludf.IMAGE('Ingredient List'!$M$10)</f>
        <v>#NAME?</v>
      </c>
      <c r="G3" s="36" t="s">
        <v>387</v>
      </c>
      <c r="H3" s="36" t="s">
        <v>388</v>
      </c>
      <c r="I3" s="36" t="s">
        <v>44</v>
      </c>
      <c r="J3" s="36" t="s">
        <v>389</v>
      </c>
      <c r="K3" s="36" t="s">
        <v>170</v>
      </c>
      <c r="L3" s="36" t="s">
        <v>328</v>
      </c>
      <c r="M3" s="36" t="s">
        <v>249</v>
      </c>
      <c r="N3" s="52" t="e">
        <f ca="1">_xludf.IMAGE('Ingredient List'!$M$12)</f>
        <v>#NAME?</v>
      </c>
      <c r="O3" s="53" t="s">
        <v>390</v>
      </c>
      <c r="P3" s="36" t="s">
        <v>106</v>
      </c>
    </row>
    <row r="4" spans="1:16" ht="37.5" customHeight="1">
      <c r="A4" s="34" t="s">
        <v>1</v>
      </c>
      <c r="B4" s="51" t="e">
        <f ca="1">_xludf.IMAGE('Ingredient List'!$M$9)</f>
        <v>#NAME?</v>
      </c>
      <c r="C4" s="36" t="e">
        <f ca="1">_xludf.IMAGE('Ingredient List'!$O$9)</f>
        <v>#NAME?</v>
      </c>
      <c r="D4" s="35" t="s">
        <v>386</v>
      </c>
      <c r="E4" s="36" t="s">
        <v>32</v>
      </c>
      <c r="F4" s="36" t="e">
        <f ca="1">_xludf.IMAGE('Ingredient List'!$K$10)</f>
        <v>#NAME?</v>
      </c>
      <c r="G4" s="36" t="s">
        <v>26</v>
      </c>
      <c r="H4" s="36" t="s">
        <v>391</v>
      </c>
      <c r="I4" s="36" t="s">
        <v>392</v>
      </c>
      <c r="J4" s="36" t="s">
        <v>393</v>
      </c>
      <c r="K4" s="36" t="s">
        <v>170</v>
      </c>
      <c r="L4" s="36" t="s">
        <v>394</v>
      </c>
      <c r="M4" s="52" t="e">
        <f ca="1">_xludf.IMAGE('Ingredient List'!$K$12)</f>
        <v>#NAME?</v>
      </c>
      <c r="N4" s="36" t="s">
        <v>35</v>
      </c>
      <c r="O4" s="36" t="s">
        <v>390</v>
      </c>
      <c r="P4" s="36" t="s">
        <v>359</v>
      </c>
    </row>
    <row r="5" spans="1:16" ht="37.5" customHeight="1">
      <c r="A5" s="34" t="s">
        <v>2</v>
      </c>
      <c r="B5" s="51" t="e">
        <f ca="1">_xludf.IMAGE('Ingredient List'!$O$9)</f>
        <v>#NAME?</v>
      </c>
      <c r="C5" s="36" t="e">
        <f ca="1">_xludf.IMAGE('Ingredient List'!$Q$9)</f>
        <v>#NAME?</v>
      </c>
      <c r="D5" s="36" t="s">
        <v>32</v>
      </c>
      <c r="E5" s="35" t="s">
        <v>56</v>
      </c>
      <c r="F5" s="36" t="s">
        <v>395</v>
      </c>
      <c r="G5" s="36" t="s">
        <v>396</v>
      </c>
      <c r="H5" s="36" t="e">
        <f ca="1">_xludf.IMAGE('Ingredient List'!$O$10)</f>
        <v>#NAME?</v>
      </c>
      <c r="I5" s="36" t="s">
        <v>62</v>
      </c>
      <c r="J5" s="36" t="s">
        <v>264</v>
      </c>
      <c r="K5" s="36" t="s">
        <v>397</v>
      </c>
      <c r="L5" s="36" t="s">
        <v>398</v>
      </c>
      <c r="M5" s="52" t="s">
        <v>253</v>
      </c>
      <c r="N5" s="36" t="s">
        <v>106</v>
      </c>
      <c r="O5" s="36" t="s">
        <v>399</v>
      </c>
      <c r="P5" s="36" t="s">
        <v>400</v>
      </c>
    </row>
    <row r="6" spans="1:16" ht="37.5" customHeight="1">
      <c r="A6" s="34" t="s">
        <v>3</v>
      </c>
      <c r="B6" s="51" t="e">
        <f ca="1">_xludf.IMAGE('Ingredient List'!$Q$9)</f>
        <v>#NAME?</v>
      </c>
      <c r="C6" s="36" t="e">
        <f ca="1">_xludf.IMAGE('Ingredient List'!$M$10)</f>
        <v>#NAME?</v>
      </c>
      <c r="D6" s="36" t="e">
        <f ca="1">_xludf.IMAGE('Ingredient List'!$K$10)</f>
        <v>#NAME?</v>
      </c>
      <c r="E6" s="36" t="s">
        <v>395</v>
      </c>
      <c r="F6" s="35" t="s">
        <v>38</v>
      </c>
      <c r="G6" s="52" t="e">
        <f ca="1">_xludf.IMAGE('Ingredient List'!$Q$10)</f>
        <v>#NAME?</v>
      </c>
      <c r="H6" s="52" t="e">
        <f ca="1">_xludf.IMAGE('Ingredient List'!$K$11)</f>
        <v>#NAME?</v>
      </c>
      <c r="I6" s="36" t="s">
        <v>401</v>
      </c>
      <c r="J6" s="36" t="s">
        <v>34</v>
      </c>
      <c r="K6" s="36" t="s">
        <v>402</v>
      </c>
      <c r="L6" s="36" t="s">
        <v>398</v>
      </c>
      <c r="M6" s="36" t="s">
        <v>403</v>
      </c>
      <c r="N6" s="36" t="s">
        <v>404</v>
      </c>
      <c r="O6" s="36" t="s">
        <v>405</v>
      </c>
      <c r="P6" s="36" t="s">
        <v>302</v>
      </c>
    </row>
    <row r="7" spans="1:16" ht="37.5" customHeight="1">
      <c r="A7" s="34" t="s">
        <v>4</v>
      </c>
      <c r="B7" s="51" t="e">
        <f ca="1">_xludf.IMAGE('Ingredient List'!$K$10)</f>
        <v>#NAME?</v>
      </c>
      <c r="C7" s="36" t="s">
        <v>387</v>
      </c>
      <c r="D7" s="36" t="s">
        <v>26</v>
      </c>
      <c r="E7" s="36" t="s">
        <v>406</v>
      </c>
      <c r="F7" s="52" t="e">
        <f ca="1">_xludf.IMAGE('Ingredient List'!$Q$10)</f>
        <v>#NAME?</v>
      </c>
      <c r="G7" s="35" t="s">
        <v>360</v>
      </c>
      <c r="H7" s="36" t="s">
        <v>41</v>
      </c>
      <c r="I7" s="36" t="s">
        <v>162</v>
      </c>
      <c r="J7" s="36" t="s">
        <v>407</v>
      </c>
      <c r="K7" s="36" t="s">
        <v>408</v>
      </c>
      <c r="L7" s="36" t="s">
        <v>409</v>
      </c>
      <c r="M7" s="36" t="s">
        <v>105</v>
      </c>
      <c r="N7" s="36" t="s">
        <v>400</v>
      </c>
      <c r="O7" s="36" t="s">
        <v>410</v>
      </c>
      <c r="P7" s="36" t="s">
        <v>66</v>
      </c>
    </row>
    <row r="8" spans="1:16" ht="37.5" customHeight="1">
      <c r="A8" s="34" t="s">
        <v>5</v>
      </c>
      <c r="B8" s="51" t="e">
        <f ca="1">_xludf.IMAGE('Ingredient List'!$M$10)</f>
        <v>#NAME?</v>
      </c>
      <c r="C8" s="36" t="s">
        <v>388</v>
      </c>
      <c r="D8" s="36" t="s">
        <v>391</v>
      </c>
      <c r="E8" s="36" t="e">
        <f ca="1">_xludf.IMAGE('Ingredient List'!$O$10)</f>
        <v>#NAME?</v>
      </c>
      <c r="F8" s="52" t="e">
        <f ca="1">_xludf.IMAGE('Ingredient List'!$K$11)</f>
        <v>#NAME?</v>
      </c>
      <c r="G8" s="36" t="s">
        <v>41</v>
      </c>
      <c r="H8" s="35" t="s">
        <v>360</v>
      </c>
      <c r="I8" s="36" t="s">
        <v>411</v>
      </c>
      <c r="J8" s="36" t="s">
        <v>407</v>
      </c>
      <c r="K8" s="36" t="s">
        <v>172</v>
      </c>
      <c r="L8" s="36" t="s">
        <v>409</v>
      </c>
      <c r="M8" s="54" t="s">
        <v>412</v>
      </c>
      <c r="N8" s="36" t="s">
        <v>413</v>
      </c>
      <c r="O8" s="36" t="s">
        <v>414</v>
      </c>
      <c r="P8" s="36" t="s">
        <v>415</v>
      </c>
    </row>
    <row r="9" spans="1:16" ht="37.5" customHeight="1">
      <c r="A9" s="34" t="s">
        <v>6</v>
      </c>
      <c r="B9" s="51" t="e">
        <f ca="1">_xludf.IMAGE('Ingredient List'!$O$10)</f>
        <v>#NAME?</v>
      </c>
      <c r="C9" s="36" t="s">
        <v>44</v>
      </c>
      <c r="D9" s="36" t="s">
        <v>392</v>
      </c>
      <c r="E9" s="36" t="s">
        <v>62</v>
      </c>
      <c r="F9" s="36" t="s">
        <v>401</v>
      </c>
      <c r="G9" s="36" t="s">
        <v>162</v>
      </c>
      <c r="H9" s="36" t="s">
        <v>411</v>
      </c>
      <c r="I9" s="35" t="s">
        <v>50</v>
      </c>
      <c r="J9" s="52" t="e">
        <f ca="1">_xludf.IMAGE('Ingredient List'!$M$11)</f>
        <v>#NAME?</v>
      </c>
      <c r="K9" s="52" t="e">
        <f ca="1">_xludf.IMAGE('Ingredient List'!$O$11)</f>
        <v>#NAME?</v>
      </c>
      <c r="L9" s="36" t="s">
        <v>416</v>
      </c>
      <c r="M9" s="36" t="s">
        <v>247</v>
      </c>
      <c r="N9" s="36" t="s">
        <v>417</v>
      </c>
      <c r="O9" s="36" t="s">
        <v>67</v>
      </c>
      <c r="P9" s="36" t="s">
        <v>418</v>
      </c>
    </row>
    <row r="10" spans="1:16" ht="37.5" customHeight="1">
      <c r="A10" s="34" t="s">
        <v>7</v>
      </c>
      <c r="B10" s="51" t="e">
        <f ca="1">_xludf.IMAGE('Ingredient List'!$Q$10)</f>
        <v>#NAME?</v>
      </c>
      <c r="C10" s="36" t="s">
        <v>389</v>
      </c>
      <c r="D10" s="36" t="s">
        <v>393</v>
      </c>
      <c r="E10" s="36" t="s">
        <v>264</v>
      </c>
      <c r="F10" s="36" t="s">
        <v>34</v>
      </c>
      <c r="G10" s="36" t="s">
        <v>407</v>
      </c>
      <c r="H10" s="36" t="s">
        <v>407</v>
      </c>
      <c r="I10" s="52" t="e">
        <f ca="1">_xludf.IMAGE('Ingredient List'!$M$11)</f>
        <v>#NAME?</v>
      </c>
      <c r="J10" s="35" t="s">
        <v>109</v>
      </c>
      <c r="K10" s="52" t="e">
        <f ca="1">_xludf.IMAGE('Ingredient List'!$Q$11)</f>
        <v>#NAME?</v>
      </c>
      <c r="L10" s="36" t="s">
        <v>419</v>
      </c>
      <c r="M10" s="36" t="s">
        <v>420</v>
      </c>
      <c r="N10" s="36" t="s">
        <v>106</v>
      </c>
      <c r="O10" s="36" t="s">
        <v>421</v>
      </c>
      <c r="P10" s="36" t="s">
        <v>301</v>
      </c>
    </row>
    <row r="11" spans="1:16" ht="37.5" customHeight="1">
      <c r="A11" s="34" t="s">
        <v>8</v>
      </c>
      <c r="B11" s="51" t="e">
        <f ca="1">_xludf.IMAGE('Ingredient List'!$K$11)</f>
        <v>#NAME?</v>
      </c>
      <c r="C11" s="36" t="s">
        <v>170</v>
      </c>
      <c r="D11" s="36" t="s">
        <v>170</v>
      </c>
      <c r="E11" s="36" t="s">
        <v>397</v>
      </c>
      <c r="F11" s="36" t="s">
        <v>402</v>
      </c>
      <c r="G11" s="36" t="s">
        <v>408</v>
      </c>
      <c r="H11" s="36" t="s">
        <v>172</v>
      </c>
      <c r="I11" s="52" t="e">
        <f ca="1">_xludf.IMAGE('Ingredient List'!$O$11)</f>
        <v>#NAME?</v>
      </c>
      <c r="J11" s="52" t="e">
        <f ca="1">_xludf.IMAGE('Ingredient List'!$Q$11)</f>
        <v>#NAME?</v>
      </c>
      <c r="K11" s="35" t="s">
        <v>422</v>
      </c>
      <c r="L11" s="36" t="s">
        <v>423</v>
      </c>
      <c r="M11" s="36" t="s">
        <v>424</v>
      </c>
      <c r="N11" s="36" t="s">
        <v>425</v>
      </c>
      <c r="O11" s="36" t="s">
        <v>426</v>
      </c>
      <c r="P11" s="36" t="s">
        <v>427</v>
      </c>
    </row>
    <row r="12" spans="1:16" ht="37.5" customHeight="1">
      <c r="A12" s="34" t="s">
        <v>9</v>
      </c>
      <c r="B12" s="51" t="e">
        <f ca="1">_xludf.IMAGE('Ingredient List'!$M$11)</f>
        <v>#NAME?</v>
      </c>
      <c r="C12" s="36" t="s">
        <v>328</v>
      </c>
      <c r="D12" s="36" t="s">
        <v>394</v>
      </c>
      <c r="E12" s="36" t="s">
        <v>398</v>
      </c>
      <c r="F12" s="36" t="s">
        <v>398</v>
      </c>
      <c r="G12" s="36" t="s">
        <v>409</v>
      </c>
      <c r="H12" s="36" t="s">
        <v>409</v>
      </c>
      <c r="I12" s="36" t="s">
        <v>416</v>
      </c>
      <c r="J12" s="36" t="s">
        <v>419</v>
      </c>
      <c r="K12" s="36" t="s">
        <v>423</v>
      </c>
      <c r="L12" s="35" t="s">
        <v>428</v>
      </c>
      <c r="M12" s="36" t="s">
        <v>429</v>
      </c>
      <c r="N12" s="36" t="s">
        <v>171</v>
      </c>
      <c r="O12" s="36" t="s">
        <v>430</v>
      </c>
      <c r="P12" s="36" t="s">
        <v>55</v>
      </c>
    </row>
    <row r="13" spans="1:16" ht="37.5" customHeight="1">
      <c r="A13" s="34" t="s">
        <v>10</v>
      </c>
      <c r="B13" s="51" t="e">
        <f ca="1">_xludf.IMAGE('Ingredient List'!$O$11)</f>
        <v>#NAME?</v>
      </c>
      <c r="C13" s="36" t="s">
        <v>249</v>
      </c>
      <c r="D13" s="52" t="e">
        <f ca="1">_xludf.IMAGE('Ingredient List'!$K$12)</f>
        <v>#NAME?</v>
      </c>
      <c r="E13" s="52" t="s">
        <v>253</v>
      </c>
      <c r="F13" s="36" t="s">
        <v>403</v>
      </c>
      <c r="G13" s="36" t="s">
        <v>105</v>
      </c>
      <c r="H13" s="54" t="s">
        <v>412</v>
      </c>
      <c r="I13" s="36" t="s">
        <v>247</v>
      </c>
      <c r="J13" s="36" t="s">
        <v>420</v>
      </c>
      <c r="K13" s="36" t="s">
        <v>424</v>
      </c>
      <c r="L13" s="36" t="s">
        <v>429</v>
      </c>
      <c r="M13" s="35" t="s">
        <v>431</v>
      </c>
      <c r="N13" s="36" t="s">
        <v>276</v>
      </c>
      <c r="O13" s="36" t="s">
        <v>309</v>
      </c>
      <c r="P13" s="36" t="s">
        <v>78</v>
      </c>
    </row>
    <row r="14" spans="1:16" ht="37.5" customHeight="1">
      <c r="A14" s="34" t="s">
        <v>11</v>
      </c>
      <c r="B14" s="51" t="e">
        <f ca="1">_xludf.IMAGE('Ingredient List'!$Q$11)</f>
        <v>#NAME?</v>
      </c>
      <c r="C14" s="52" t="e">
        <f ca="1">_xludf.IMAGE('Ingredient List'!$M$12)</f>
        <v>#NAME?</v>
      </c>
      <c r="D14" s="36" t="s">
        <v>35</v>
      </c>
      <c r="E14" s="36" t="s">
        <v>106</v>
      </c>
      <c r="F14" s="36" t="s">
        <v>404</v>
      </c>
      <c r="G14" s="36" t="s">
        <v>400</v>
      </c>
      <c r="H14" s="36" t="s">
        <v>413</v>
      </c>
      <c r="I14" s="36" t="s">
        <v>417</v>
      </c>
      <c r="J14" s="36" t="s">
        <v>106</v>
      </c>
      <c r="K14" s="36" t="s">
        <v>425</v>
      </c>
      <c r="L14" s="36" t="s">
        <v>171</v>
      </c>
      <c r="M14" s="36" t="s">
        <v>276</v>
      </c>
      <c r="N14" s="35" t="s">
        <v>309</v>
      </c>
      <c r="O14" s="36" t="s">
        <v>199</v>
      </c>
      <c r="P14" s="36" t="s">
        <v>432</v>
      </c>
    </row>
    <row r="15" spans="1:16" ht="37.5" customHeight="1">
      <c r="A15" s="34" t="s">
        <v>12</v>
      </c>
      <c r="B15" s="51" t="e">
        <f ca="1">_xludf.IMAGE('Ingredient List'!$K$12)</f>
        <v>#NAME?</v>
      </c>
      <c r="C15" s="53" t="s">
        <v>390</v>
      </c>
      <c r="D15" s="36" t="s">
        <v>390</v>
      </c>
      <c r="E15" s="36" t="s">
        <v>399</v>
      </c>
      <c r="F15" s="36" t="s">
        <v>405</v>
      </c>
      <c r="G15" s="36" t="s">
        <v>410</v>
      </c>
      <c r="H15" s="36" t="s">
        <v>414</v>
      </c>
      <c r="I15" s="36" t="s">
        <v>67</v>
      </c>
      <c r="J15" s="36" t="s">
        <v>421</v>
      </c>
      <c r="K15" s="36" t="s">
        <v>426</v>
      </c>
      <c r="L15" s="36" t="s">
        <v>430</v>
      </c>
      <c r="M15" s="36" t="s">
        <v>309</v>
      </c>
      <c r="N15" s="36" t="s">
        <v>199</v>
      </c>
      <c r="O15" s="35" t="s">
        <v>433</v>
      </c>
      <c r="P15" s="36" t="s">
        <v>434</v>
      </c>
    </row>
    <row r="16" spans="1:16" ht="37.5" customHeight="1">
      <c r="A16" s="34" t="s">
        <v>13</v>
      </c>
      <c r="B16" s="51" t="e">
        <f ca="1">_xludf.IMAGE('Ingredient List'!$M$12)</f>
        <v>#NAME?</v>
      </c>
      <c r="C16" s="36" t="s">
        <v>106</v>
      </c>
      <c r="D16" s="36" t="s">
        <v>359</v>
      </c>
      <c r="E16" s="36" t="s">
        <v>400</v>
      </c>
      <c r="F16" s="36" t="s">
        <v>302</v>
      </c>
      <c r="G16" s="36" t="s">
        <v>66</v>
      </c>
      <c r="H16" s="36" t="s">
        <v>415</v>
      </c>
      <c r="I16" s="36" t="s">
        <v>418</v>
      </c>
      <c r="J16" s="36" t="s">
        <v>301</v>
      </c>
      <c r="K16" s="36" t="s">
        <v>427</v>
      </c>
      <c r="L16" s="36" t="s">
        <v>55</v>
      </c>
      <c r="M16" s="36" t="s">
        <v>78</v>
      </c>
      <c r="N16" s="36" t="s">
        <v>432</v>
      </c>
      <c r="O16" s="36" t="s">
        <v>434</v>
      </c>
      <c r="P16" s="35" t="s">
        <v>312</v>
      </c>
    </row>
  </sheetData>
  <mergeCells count="1">
    <mergeCell ref="A1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13"/>
  <sheetViews>
    <sheetView workbookViewId="0"/>
  </sheetViews>
  <sheetFormatPr defaultColWidth="12.6640625" defaultRowHeight="15.75" customHeight="1"/>
  <cols>
    <col min="1" max="19" width="6.33203125" customWidth="1"/>
  </cols>
  <sheetData>
    <row r="1" spans="1:19" ht="37.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37.5" customHeight="1">
      <c r="A2" s="55"/>
      <c r="B2" s="68" t="s">
        <v>435</v>
      </c>
      <c r="C2" s="69"/>
      <c r="D2" s="69"/>
      <c r="E2" s="69"/>
      <c r="F2" s="69"/>
      <c r="G2" s="69"/>
      <c r="H2" s="69"/>
      <c r="I2" s="65"/>
      <c r="J2" s="55"/>
      <c r="K2" s="68" t="s">
        <v>436</v>
      </c>
      <c r="L2" s="69"/>
      <c r="M2" s="69"/>
      <c r="N2" s="69"/>
      <c r="O2" s="69"/>
      <c r="P2" s="69"/>
      <c r="Q2" s="69"/>
      <c r="R2" s="65"/>
      <c r="S2" s="55"/>
    </row>
    <row r="3" spans="1:19" ht="37.5" customHeight="1">
      <c r="A3" s="55"/>
      <c r="B3" s="74" t="s">
        <v>0</v>
      </c>
      <c r="C3" s="65"/>
      <c r="D3" s="74" t="s">
        <v>1</v>
      </c>
      <c r="E3" s="65"/>
      <c r="F3" s="74" t="s">
        <v>2</v>
      </c>
      <c r="G3" s="65"/>
      <c r="H3" s="74" t="s">
        <v>3</v>
      </c>
      <c r="I3" s="65"/>
      <c r="J3" s="55"/>
      <c r="K3" s="74">
        <f ca="1">IFERROR(MATCH(B3 &amp; " Recipes",'(ARCHIVE) 5.24 Recipe Book'!$B:$B,0),"")</f>
        <v>11</v>
      </c>
      <c r="L3" s="65"/>
      <c r="M3" s="74">
        <f ca="1">IFERROR(MATCH(D3 &amp; " Recipes",'(ARCHIVE) 5.24 Recipe Book'!$B:$B,0),"")</f>
        <v>28</v>
      </c>
      <c r="N3" s="65"/>
      <c r="O3" s="74">
        <f ca="1">IFERROR(MATCH(F3 &amp; " Recipes",'(ARCHIVE) 5.24 Recipe Book'!$B:$B,0),"")</f>
        <v>45</v>
      </c>
      <c r="P3" s="65"/>
      <c r="Q3" s="74">
        <f ca="1">IFERROR(MATCH(H3 &amp; " Recipes",'(ARCHIVE) 5.24 Recipe Book'!$B:$B,0),"")</f>
        <v>62</v>
      </c>
      <c r="R3" s="65"/>
      <c r="S3" s="55"/>
    </row>
    <row r="4" spans="1:19" ht="37.5" customHeight="1">
      <c r="A4" s="55"/>
      <c r="B4" s="74" t="s">
        <v>4</v>
      </c>
      <c r="C4" s="65"/>
      <c r="D4" s="74" t="s">
        <v>5</v>
      </c>
      <c r="E4" s="65"/>
      <c r="F4" s="74" t="s">
        <v>6</v>
      </c>
      <c r="G4" s="65"/>
      <c r="H4" s="74" t="s">
        <v>7</v>
      </c>
      <c r="I4" s="65"/>
      <c r="J4" s="55"/>
      <c r="K4" s="74">
        <f ca="1">IFERROR(MATCH(B4 &amp; " Recipes",'(ARCHIVE) 5.24 Recipe Book'!$B:$B,0),"")</f>
        <v>79</v>
      </c>
      <c r="L4" s="65"/>
      <c r="M4" s="74">
        <f ca="1">IFERROR(MATCH(D4 &amp; " Recipes",'(ARCHIVE) 5.24 Recipe Book'!$B:$B,0),"")</f>
        <v>96</v>
      </c>
      <c r="N4" s="65"/>
      <c r="O4" s="74">
        <f ca="1">IFERROR(MATCH(F4 &amp; " Recipes",'(ARCHIVE) 5.24 Recipe Book'!$B:$B,0),"")</f>
        <v>113</v>
      </c>
      <c r="P4" s="65"/>
      <c r="Q4" s="74">
        <f ca="1">IFERROR(MATCH(H4 &amp; " Recipes",'(ARCHIVE) 5.24 Recipe Book'!$B:$B,0),"")</f>
        <v>130</v>
      </c>
      <c r="R4" s="65"/>
      <c r="S4" s="55"/>
    </row>
    <row r="5" spans="1:19" ht="37.5" customHeight="1">
      <c r="A5" s="55"/>
      <c r="B5" s="66" t="s">
        <v>8</v>
      </c>
      <c r="C5" s="65"/>
      <c r="D5" s="66" t="s">
        <v>9</v>
      </c>
      <c r="E5" s="65"/>
      <c r="F5" s="66" t="s">
        <v>10</v>
      </c>
      <c r="G5" s="65"/>
      <c r="H5" s="66" t="s">
        <v>11</v>
      </c>
      <c r="I5" s="65"/>
      <c r="J5" s="55"/>
      <c r="K5" s="74">
        <f ca="1">IFERROR(MATCH(B5 &amp; " Recipes",'(ARCHIVE) 5.24 Recipe Book'!$B:$B,0),"")</f>
        <v>147</v>
      </c>
      <c r="L5" s="65"/>
      <c r="M5" s="74">
        <f ca="1">IFERROR(MATCH(D5 &amp; " Recipes",'(ARCHIVE) 5.24 Recipe Book'!$B:$B,0),"")</f>
        <v>164</v>
      </c>
      <c r="N5" s="65"/>
      <c r="O5" s="74">
        <f ca="1">IFERROR(MATCH(F5 &amp; " Recipes",'(ARCHIVE) 5.24 Recipe Book'!$B:$B,0),"")</f>
        <v>181</v>
      </c>
      <c r="P5" s="65"/>
      <c r="Q5" s="74">
        <f ca="1">IFERROR(MATCH(H5 &amp; " Recipes",'(ARCHIVE) 5.24 Recipe Book'!$B:$B,0),"")</f>
        <v>198</v>
      </c>
      <c r="R5" s="65"/>
      <c r="S5" s="55"/>
    </row>
    <row r="6" spans="1:19" ht="37.5" customHeight="1">
      <c r="A6" s="55"/>
      <c r="B6" s="66" t="s">
        <v>12</v>
      </c>
      <c r="C6" s="65"/>
      <c r="D6" s="66" t="s">
        <v>13</v>
      </c>
      <c r="E6" s="65"/>
      <c r="F6" s="66"/>
      <c r="G6" s="65"/>
      <c r="H6" s="66"/>
      <c r="I6" s="65"/>
      <c r="J6" s="55"/>
      <c r="K6" s="74">
        <f ca="1">IFERROR(MATCH(B6 &amp; " Recipes",'(ARCHIVE) 5.24 Recipe Book'!$B:$B,0),"")</f>
        <v>215</v>
      </c>
      <c r="L6" s="65"/>
      <c r="M6" s="74">
        <f ca="1">IFERROR(MATCH(D6 &amp; " Recipes",'(ARCHIVE) 5.24 Recipe Book'!$B:$B,0),"")</f>
        <v>232</v>
      </c>
      <c r="N6" s="65"/>
      <c r="O6" s="74" t="str">
        <f ca="1">IFERROR(MATCH(F6 &amp; " Recipes",'(ARCHIVE) 5.24 Recipe Book'!$B:$B,0),"")</f>
        <v/>
      </c>
      <c r="P6" s="65"/>
      <c r="Q6" s="74" t="str">
        <f ca="1">IFERROR(MATCH(H6 &amp; " Recipes",'(ARCHIVE) 5.24 Recipe Book'!$B:$B,0),"")</f>
        <v/>
      </c>
      <c r="R6" s="65"/>
      <c r="S6" s="55"/>
    </row>
    <row r="7" spans="1:19" ht="37.5" customHeight="1">
      <c r="A7" s="55"/>
      <c r="B7" s="43"/>
      <c r="C7" s="43"/>
      <c r="D7" s="56"/>
      <c r="E7" s="56"/>
      <c r="F7" s="56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37.5" customHeight="1">
      <c r="A8" s="55"/>
      <c r="B8" s="68" t="s">
        <v>437</v>
      </c>
      <c r="C8" s="69"/>
      <c r="D8" s="69"/>
      <c r="E8" s="69"/>
      <c r="F8" s="69"/>
      <c r="G8" s="69"/>
      <c r="H8" s="69"/>
      <c r="I8" s="65"/>
      <c r="J8" s="55"/>
      <c r="K8" s="68" t="s">
        <v>362</v>
      </c>
      <c r="L8" s="69"/>
      <c r="M8" s="69"/>
      <c r="N8" s="69"/>
      <c r="O8" s="69"/>
      <c r="P8" s="69"/>
      <c r="Q8" s="69"/>
      <c r="R8" s="65"/>
      <c r="S8" s="55"/>
    </row>
    <row r="9" spans="1:19" ht="37.5" customHeight="1">
      <c r="A9" s="55"/>
      <c r="B9" s="74" t="e">
        <f t="shared" ref="B9:B12" ca="1" si="0">_xludf.IMAGE(K9)</f>
        <v>#NAME?</v>
      </c>
      <c r="C9" s="65"/>
      <c r="D9" s="74" t="e">
        <f t="shared" ref="D9:D12" ca="1" si="1">_xludf.IMAGE(M9)</f>
        <v>#NAME?</v>
      </c>
      <c r="E9" s="65"/>
      <c r="F9" s="74" t="e">
        <f t="shared" ref="F9:F12" ca="1" si="2">_xludf.IMAGE(O9)</f>
        <v>#NAME?</v>
      </c>
      <c r="G9" s="65"/>
      <c r="H9" s="74" t="e">
        <f t="shared" ref="H9:H12" ca="1" si="3">_xludf.IMAGE(Q9)</f>
        <v>#NAME?</v>
      </c>
      <c r="I9" s="65"/>
      <c r="J9" s="55"/>
      <c r="K9" s="81" t="s">
        <v>364</v>
      </c>
      <c r="L9" s="65"/>
      <c r="M9" s="81" t="s">
        <v>365</v>
      </c>
      <c r="N9" s="65"/>
      <c r="O9" s="81" t="s">
        <v>366</v>
      </c>
      <c r="P9" s="65"/>
      <c r="Q9" s="81" t="s">
        <v>367</v>
      </c>
      <c r="R9" s="65"/>
      <c r="S9" s="55"/>
    </row>
    <row r="10" spans="1:19" ht="37.5" customHeight="1">
      <c r="A10" s="55"/>
      <c r="B10" s="74" t="e">
        <f t="shared" ca="1" si="0"/>
        <v>#NAME?</v>
      </c>
      <c r="C10" s="65"/>
      <c r="D10" s="74" t="e">
        <f t="shared" ca="1" si="1"/>
        <v>#NAME?</v>
      </c>
      <c r="E10" s="65"/>
      <c r="F10" s="74" t="e">
        <f t="shared" ca="1" si="2"/>
        <v>#NAME?</v>
      </c>
      <c r="G10" s="65"/>
      <c r="H10" s="74" t="e">
        <f t="shared" ca="1" si="3"/>
        <v>#NAME?</v>
      </c>
      <c r="I10" s="65"/>
      <c r="J10" s="55"/>
      <c r="K10" s="81" t="s">
        <v>368</v>
      </c>
      <c r="L10" s="65"/>
      <c r="M10" s="81" t="s">
        <v>369</v>
      </c>
      <c r="N10" s="65"/>
      <c r="O10" s="80" t="s">
        <v>370</v>
      </c>
      <c r="P10" s="61"/>
      <c r="Q10" s="78" t="s">
        <v>371</v>
      </c>
      <c r="R10" s="65"/>
      <c r="S10" s="55"/>
    </row>
    <row r="11" spans="1:19" ht="37.5" customHeight="1">
      <c r="A11" s="55"/>
      <c r="B11" s="74" t="e">
        <f t="shared" ca="1" si="0"/>
        <v>#NAME?</v>
      </c>
      <c r="C11" s="65"/>
      <c r="D11" s="74" t="e">
        <f t="shared" ca="1" si="1"/>
        <v>#NAME?</v>
      </c>
      <c r="E11" s="65"/>
      <c r="F11" s="74" t="e">
        <f t="shared" ca="1" si="2"/>
        <v>#NAME?</v>
      </c>
      <c r="G11" s="65"/>
      <c r="H11" s="74" t="e">
        <f t="shared" ca="1" si="3"/>
        <v>#NAME?</v>
      </c>
      <c r="I11" s="65"/>
      <c r="J11" s="55"/>
      <c r="K11" s="78" t="s">
        <v>372</v>
      </c>
      <c r="L11" s="65"/>
      <c r="M11" s="78" t="s">
        <v>373</v>
      </c>
      <c r="N11" s="65"/>
      <c r="O11" s="78" t="s">
        <v>374</v>
      </c>
      <c r="P11" s="65"/>
      <c r="Q11" s="78" t="s">
        <v>375</v>
      </c>
      <c r="R11" s="65"/>
      <c r="S11" s="55"/>
    </row>
    <row r="12" spans="1:19" ht="37.5" customHeight="1">
      <c r="A12" s="55"/>
      <c r="B12" s="74" t="e">
        <f t="shared" ca="1" si="0"/>
        <v>#NAME?</v>
      </c>
      <c r="C12" s="65"/>
      <c r="D12" s="74" t="e">
        <f t="shared" ca="1" si="1"/>
        <v>#NAME?</v>
      </c>
      <c r="E12" s="65"/>
      <c r="F12" s="74" t="e">
        <f t="shared" ca="1" si="2"/>
        <v>#NAME?</v>
      </c>
      <c r="G12" s="65"/>
      <c r="H12" s="74" t="e">
        <f t="shared" ca="1" si="3"/>
        <v>#NAME?</v>
      </c>
      <c r="I12" s="65"/>
      <c r="J12" s="55"/>
      <c r="K12" s="78" t="s">
        <v>376</v>
      </c>
      <c r="L12" s="65"/>
      <c r="M12" s="78" t="s">
        <v>377</v>
      </c>
      <c r="N12" s="65"/>
      <c r="O12" s="79"/>
      <c r="P12" s="65"/>
      <c r="Q12" s="79"/>
      <c r="R12" s="65"/>
      <c r="S12" s="55"/>
    </row>
    <row r="13" spans="1:19" ht="37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</row>
  </sheetData>
  <mergeCells count="68">
    <mergeCell ref="B8:I8"/>
    <mergeCell ref="K8:R8"/>
    <mergeCell ref="D9:E9"/>
    <mergeCell ref="F9:G9"/>
    <mergeCell ref="H9:I9"/>
    <mergeCell ref="K9:L9"/>
    <mergeCell ref="Q9:R9"/>
    <mergeCell ref="O10:P10"/>
    <mergeCell ref="Q10:R10"/>
    <mergeCell ref="B9:C9"/>
    <mergeCell ref="B10:C10"/>
    <mergeCell ref="D10:E10"/>
    <mergeCell ref="F10:G10"/>
    <mergeCell ref="H10:I10"/>
    <mergeCell ref="K10:L10"/>
    <mergeCell ref="M10:N10"/>
    <mergeCell ref="M9:N9"/>
    <mergeCell ref="O9:P9"/>
    <mergeCell ref="O11:P11"/>
    <mergeCell ref="Q11:R11"/>
    <mergeCell ref="O12:P12"/>
    <mergeCell ref="Q12:R12"/>
    <mergeCell ref="B11:C11"/>
    <mergeCell ref="B12:C12"/>
    <mergeCell ref="D12:E12"/>
    <mergeCell ref="F12:G12"/>
    <mergeCell ref="H12:I12"/>
    <mergeCell ref="K12:L12"/>
    <mergeCell ref="M12:N12"/>
    <mergeCell ref="D11:E11"/>
    <mergeCell ref="F11:G11"/>
    <mergeCell ref="H11:I11"/>
    <mergeCell ref="K11:L11"/>
    <mergeCell ref="M11:N11"/>
    <mergeCell ref="B2:I2"/>
    <mergeCell ref="K2:R2"/>
    <mergeCell ref="D3:E3"/>
    <mergeCell ref="F3:G3"/>
    <mergeCell ref="H3:I3"/>
    <mergeCell ref="K3:L3"/>
    <mergeCell ref="Q3:R3"/>
    <mergeCell ref="O4:P4"/>
    <mergeCell ref="Q4:R4"/>
    <mergeCell ref="B3:C3"/>
    <mergeCell ref="B4:C4"/>
    <mergeCell ref="D4:E4"/>
    <mergeCell ref="F4:G4"/>
    <mergeCell ref="H4:I4"/>
    <mergeCell ref="K4:L4"/>
    <mergeCell ref="M4:N4"/>
    <mergeCell ref="M3:N3"/>
    <mergeCell ref="O3:P3"/>
    <mergeCell ref="O5:P5"/>
    <mergeCell ref="Q5:R5"/>
    <mergeCell ref="O6:P6"/>
    <mergeCell ref="Q6:R6"/>
    <mergeCell ref="B5:C5"/>
    <mergeCell ref="B6:C6"/>
    <mergeCell ref="D6:E6"/>
    <mergeCell ref="F6:G6"/>
    <mergeCell ref="H6:I6"/>
    <mergeCell ref="K6:L6"/>
    <mergeCell ref="M6:N6"/>
    <mergeCell ref="D5:E5"/>
    <mergeCell ref="F5:G5"/>
    <mergeCell ref="H5:I5"/>
    <mergeCell ref="K5:L5"/>
    <mergeCell ref="M5:N5"/>
  </mergeCells>
  <conditionalFormatting sqref="K1:K8 M1:M8 O1:O8 Q1:Q8 A1:J13 L1:L13 N1:N13 P1:P13 R1:S13 O10:O13 Q10:Q13 K11:K13 M11:M13">
    <cfRule type="cellIs" dxfId="11" priority="1" operator="equal">
      <formula>"Leaf"</formula>
    </cfRule>
    <cfRule type="cellIs" dxfId="10" priority="2" operator="equal">
      <formula>"Sand"</formula>
    </cfRule>
    <cfRule type="cellIs" dxfId="9" priority="3" operator="equal">
      <formula>"Water"</formula>
    </cfRule>
    <cfRule type="cellIs" dxfId="8" priority="4" operator="equal">
      <formula>"Lightning"</formula>
    </cfRule>
    <cfRule type="cellIs" dxfId="7" priority="5" operator="equal">
      <formula>"Poison"</formula>
    </cfRule>
    <cfRule type="cellIs" dxfId="6" priority="6" operator="equal">
      <formula>"Beetle"</formula>
    </cfRule>
  </conditionalFormatting>
  <hyperlinks>
    <hyperlink ref="K9" r:id="rId1" xr:uid="{00000000-0004-0000-0E00-000000000000}"/>
    <hyperlink ref="M9" r:id="rId2" xr:uid="{00000000-0004-0000-0E00-000001000000}"/>
    <hyperlink ref="O9" r:id="rId3" xr:uid="{00000000-0004-0000-0E00-000002000000}"/>
    <hyperlink ref="Q9" r:id="rId4" xr:uid="{00000000-0004-0000-0E00-000003000000}"/>
    <hyperlink ref="K10" r:id="rId5" xr:uid="{00000000-0004-0000-0E00-000004000000}"/>
    <hyperlink ref="M10" r:id="rId6" xr:uid="{00000000-0004-0000-0E00-000005000000}"/>
    <hyperlink ref="O10" r:id="rId7" xr:uid="{00000000-0004-0000-0E00-000006000000}"/>
    <hyperlink ref="Q10" r:id="rId8" xr:uid="{00000000-0004-0000-0E00-000007000000}"/>
    <hyperlink ref="K11" r:id="rId9" xr:uid="{00000000-0004-0000-0E00-000008000000}"/>
    <hyperlink ref="M11" r:id="rId10" xr:uid="{00000000-0004-0000-0E00-000009000000}"/>
    <hyperlink ref="O11" r:id="rId11" xr:uid="{00000000-0004-0000-0E00-00000A000000}"/>
    <hyperlink ref="Q11" r:id="rId12" xr:uid="{00000000-0004-0000-0E00-00000B000000}"/>
    <hyperlink ref="K12" r:id="rId13" xr:uid="{00000000-0004-0000-0E00-00000C000000}"/>
    <hyperlink ref="M12" r:id="rId14" xr:uid="{00000000-0004-0000-0E00-00000D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248"/>
  <sheetViews>
    <sheetView showGridLines="0" workbookViewId="0"/>
  </sheetViews>
  <sheetFormatPr defaultColWidth="12.6640625" defaultRowHeight="15.75" customHeight="1"/>
  <cols>
    <col min="1" max="17" width="6.33203125" customWidth="1"/>
    <col min="18" max="26" width="6.33203125" hidden="1" customWidth="1"/>
  </cols>
  <sheetData>
    <row r="1" spans="1:26" ht="37.5" customHeight="1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7.5" customHeight="1">
      <c r="A2" s="43"/>
      <c r="B2" s="68" t="s">
        <v>438</v>
      </c>
      <c r="C2" s="69"/>
      <c r="D2" s="69"/>
      <c r="E2" s="69"/>
      <c r="F2" s="69"/>
      <c r="G2" s="69"/>
      <c r="H2" s="69"/>
      <c r="I2" s="65"/>
      <c r="J2" s="44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37.5" customHeight="1">
      <c r="A3" s="43"/>
      <c r="B3" s="42" t="s">
        <v>15</v>
      </c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37.5" customHeight="1">
      <c r="A4" s="43"/>
      <c r="B4" s="75" t="s">
        <v>355</v>
      </c>
      <c r="C4" s="69"/>
      <c r="D4" s="69"/>
      <c r="E4" s="69"/>
      <c r="F4" s="69"/>
      <c r="G4" s="69"/>
      <c r="H4" s="69"/>
      <c r="I4" s="65"/>
      <c r="J4" s="43"/>
      <c r="K4" s="43"/>
      <c r="L4" s="76" t="s">
        <v>356</v>
      </c>
      <c r="M4" s="69"/>
      <c r="N4" s="69"/>
      <c r="O4" s="69"/>
      <c r="P4" s="65"/>
      <c r="Q4" s="43"/>
      <c r="R4" s="75" t="s">
        <v>355</v>
      </c>
      <c r="S4" s="69"/>
      <c r="T4" s="69"/>
      <c r="U4" s="69"/>
      <c r="V4" s="69"/>
      <c r="W4" s="69"/>
      <c r="X4" s="69"/>
      <c r="Y4" s="65"/>
      <c r="Z4" s="43"/>
    </row>
    <row r="5" spans="1:26" ht="37.5" customHeight="1">
      <c r="A5" s="43"/>
      <c r="B5" s="73" t="str">
        <f ca="1">IFERROR(IF('Ingredient List'!B3="","",HYPERLINK("https://docs.google.com/spreadsheets/d/1o95Ipwx6NIyFV3LCz9LGNbH9_WELHF-pbpkM31YwXyY/edit#gid=0&amp;range=B" &amp; 'Ingredient List'!K3,VLOOKUP('Ingredient List'!B3,Images!$A:$C,3,FALSE))),'Ingredient List'!B3)</f>
        <v/>
      </c>
      <c r="C5" s="65"/>
      <c r="D5" s="73" t="str">
        <f ca="1">IFERROR(IF('Ingredient List'!D3="","",HYPERLINK("https://docs.google.com/spreadsheets/d/1o95Ipwx6NIyFV3LCz9LGNbH9_WELHF-pbpkM31YwXyY/edit#gid=0&amp;range=B" &amp; 'Ingredient List'!M3,VLOOKUP('Ingredient List'!D3,Images!$A:$C,3,FALSE))),'Ingredient List'!D3)</f>
        <v/>
      </c>
      <c r="E5" s="65"/>
      <c r="F5" s="73" t="str">
        <f ca="1">IFERROR(IF('Ingredient List'!F3="","",HYPERLINK("https://docs.google.com/spreadsheets/d/1o95Ipwx6NIyFV3LCz9LGNbH9_WELHF-pbpkM31YwXyY/edit#gid=0&amp;range=B" &amp; 'Ingredient List'!O3,VLOOKUP('Ingredient List'!F3,Images!$A:$C,3,FALSE))),'Ingredient List'!F3)</f>
        <v/>
      </c>
      <c r="G5" s="65"/>
      <c r="H5" s="73" t="str">
        <f ca="1">IFERROR(IF('Ingredient List'!H3="","",HYPERLINK("https://docs.google.com/spreadsheets/d/1o95Ipwx6NIyFV3LCz9LGNbH9_WELHF-pbpkM31YwXyY/edit#gid=0&amp;range=B" &amp; 'Ingredient List'!Q3,VLOOKUP('Ingredient List'!H3,Images!$A:$C,3,FALSE))),'Ingredient List'!H3)</f>
        <v/>
      </c>
      <c r="I5" s="65"/>
      <c r="J5" s="71"/>
      <c r="K5" s="72"/>
      <c r="L5" s="45"/>
      <c r="M5" s="46" t="s">
        <v>357</v>
      </c>
      <c r="N5" s="45"/>
      <c r="O5" s="46" t="s">
        <v>358</v>
      </c>
      <c r="P5" s="45"/>
      <c r="Q5" s="43"/>
      <c r="R5" s="77" t="str">
        <f ca="1">IF('Ingredient List'!B3="","",HYPERLINK("https://docs.google.com/spreadsheets/d/1o95Ipwx6NIyFV3LCz9LGNbH9_WELHF-pbpkM31YwXyY/edit#gid=0&amp;range=B" &amp; 'Ingredient List'!K3,'Ingredient List'!B3))</f>
        <v>Leaf</v>
      </c>
      <c r="S5" s="65"/>
      <c r="T5" s="77" t="str">
        <f ca="1">IF('Ingredient List'!D3="","",HYPERLINK("https://docs.google.com/spreadsheets/d/1o95Ipwx6NIyFV3LCz9LGNbH9_WELHF-pbpkM31YwXyY/edit#gid=0&amp;range=B" &amp; 'Ingredient List'!M3,'Ingredient List'!D3))</f>
        <v>Sand</v>
      </c>
      <c r="U5" s="65"/>
      <c r="V5" s="77" t="str">
        <f ca="1">IF('Ingredient List'!F3="","",HYPERLINK("https://docs.google.com/spreadsheets/d/1o95Ipwx6NIyFV3LCz9LGNbH9_WELHF-pbpkM31YwXyY/edit#gid=0&amp;range=B" &amp; 'Ingredient List'!O3,'Ingredient List'!F3))</f>
        <v>Water</v>
      </c>
      <c r="W5" s="65"/>
      <c r="X5" s="77" t="str">
        <f ca="1">IF('Ingredient List'!H3="","",HYPERLINK("https://docs.google.com/spreadsheets/d/1o95Ipwx6NIyFV3LCz9LGNbH9_WELHF-pbpkM31YwXyY/edit#gid=0&amp;range=B" &amp; 'Ingredient List'!Q3,'Ingredient List'!H3))</f>
        <v>Lightning</v>
      </c>
      <c r="Y5" s="65"/>
      <c r="Z5" s="43"/>
    </row>
    <row r="6" spans="1:26" ht="37.5" customHeight="1">
      <c r="A6" s="43"/>
      <c r="B6" s="73" t="str">
        <f ca="1">IFERROR(IF('Ingredient List'!B4="","",HYPERLINK("https://docs.google.com/spreadsheets/d/1o95Ipwx6NIyFV3LCz9LGNbH9_WELHF-pbpkM31YwXyY/edit#gid=0&amp;range=B" &amp; 'Ingredient List'!K4,VLOOKUP('Ingredient List'!B4,Images!$A:$C,3,FALSE))),'Ingredient List'!B4)</f>
        <v/>
      </c>
      <c r="C6" s="65"/>
      <c r="D6" s="73" t="str">
        <f ca="1">IFERROR(IF('Ingredient List'!D4="","",HYPERLINK("https://docs.google.com/spreadsheets/d/1o95Ipwx6NIyFV3LCz9LGNbH9_WELHF-pbpkM31YwXyY/edit#gid=0&amp;range=B" &amp; 'Ingredient List'!M4,VLOOKUP('Ingredient List'!D4,Images!$A:$C,3,FALSE))),'Ingredient List'!D4)</f>
        <v/>
      </c>
      <c r="E6" s="65"/>
      <c r="F6" s="73" t="str">
        <f ca="1">IFERROR(IF('Ingredient List'!F4="","",HYPERLINK("https://docs.google.com/spreadsheets/d/1o95Ipwx6NIyFV3LCz9LGNbH9_WELHF-pbpkM31YwXyY/edit#gid=0&amp;range=B" &amp; 'Ingredient List'!O4,VLOOKUP('Ingredient List'!F4,Images!$A:$C,3,FALSE))),'Ingredient List'!F4)</f>
        <v/>
      </c>
      <c r="G6" s="65"/>
      <c r="H6" s="73" t="str">
        <f ca="1">IFERROR(IF('Ingredient List'!H4="","",HYPERLINK("https://docs.google.com/spreadsheets/d/1o95Ipwx6NIyFV3LCz9LGNbH9_WELHF-pbpkM31YwXyY/edit#gid=0&amp;range=B" &amp; 'Ingredient List'!Q4,VLOOKUP('Ingredient List'!H4,Images!$A:$C,3,FALSE))),'Ingredient List'!H4)</f>
        <v/>
      </c>
      <c r="I6" s="65"/>
      <c r="J6" s="43"/>
      <c r="K6" s="43"/>
      <c r="L6" s="45"/>
      <c r="M6" s="46" t="s">
        <v>357</v>
      </c>
      <c r="N6" s="45"/>
      <c r="O6" s="46" t="s">
        <v>358</v>
      </c>
      <c r="P6" s="45"/>
      <c r="Q6" s="43"/>
      <c r="R6" s="77" t="str">
        <f ca="1">IF('Ingredient List'!B4="","",HYPERLINK("https://docs.google.com/spreadsheets/d/1o95Ipwx6NIyFV3LCz9LGNbH9_WELHF-pbpkM31YwXyY/edit#gid=0&amp;range=B" &amp; 'Ingredient List'!K4,'Ingredient List'!B4))</f>
        <v>Poison</v>
      </c>
      <c r="S6" s="65"/>
      <c r="T6" s="77" t="str">
        <f ca="1">IF('Ingredient List'!D4="","",HYPERLINK("https://docs.google.com/spreadsheets/d/1o95Ipwx6NIyFV3LCz9LGNbH9_WELHF-pbpkM31YwXyY/edit#gid=0&amp;range=B" &amp; 'Ingredient List'!M4,'Ingredient List'!D4))</f>
        <v>Beetle</v>
      </c>
      <c r="U6" s="65"/>
      <c r="V6" s="73" t="str">
        <f ca="1">IF('Ingredient List'!F4="","",HYPERLINK("https://docs.google.com/spreadsheets/d/1o95Ipwx6NIyFV3LCz9LGNbH9_WELHF-pbpkM31YwXyY/edit#gid=0&amp;range=B" &amp; 'Ingredient List'!O4,'Ingredient List'!F4))</f>
        <v>Tooth</v>
      </c>
      <c r="W6" s="65"/>
      <c r="X6" s="73" t="str">
        <f ca="1">IF('Ingredient List'!H4="","",HYPERLINK("https://docs.google.com/spreadsheets/d/1o95Ipwx6NIyFV3LCz9LGNbH9_WELHF-pbpkM31YwXyY/edit#gid=0&amp;range=B" &amp; 'Ingredient List'!Q4,'Ingredient List'!H4))</f>
        <v>Flame</v>
      </c>
      <c r="Y6" s="65"/>
      <c r="Z6" s="43"/>
    </row>
    <row r="7" spans="1:26" ht="37.5" customHeight="1">
      <c r="A7" s="43"/>
      <c r="B7" s="73" t="str">
        <f ca="1">IFERROR(IF('Ingredient List'!B5="","",HYPERLINK("https://docs.google.com/spreadsheets/d/1o95Ipwx6NIyFV3LCz9LGNbH9_WELHF-pbpkM31YwXyY/edit#gid=0&amp;range=B" &amp; 'Ingredient List'!K5,VLOOKUP('Ingredient List'!B5,Images!$A:$C,3,FALSE))),'Ingredient List'!B5)</f>
        <v/>
      </c>
      <c r="C7" s="65"/>
      <c r="D7" s="73" t="str">
        <f ca="1">IFERROR(IF('Ingredient List'!D5="","",HYPERLINK("https://docs.google.com/spreadsheets/d/1o95Ipwx6NIyFV3LCz9LGNbH9_WELHF-pbpkM31YwXyY/edit#gid=0&amp;range=B" &amp; 'Ingredient List'!M5,VLOOKUP('Ingredient List'!D5,Images!$A:$C,3,FALSE))),'Ingredient List'!D5)</f>
        <v/>
      </c>
      <c r="E7" s="65"/>
      <c r="F7" s="73" t="str">
        <f ca="1">IFERROR(IF('Ingredient List'!F5="","",HYPERLINK("https://docs.google.com/spreadsheets/d/1o95Ipwx6NIyFV3LCz9LGNbH9_WELHF-pbpkM31YwXyY/edit#gid=0&amp;range=B" &amp; 'Ingredient List'!O5,VLOOKUP('Ingredient List'!F5,Images!$A:$C,3,FALSE))),'Ingredient List'!F5)</f>
        <v/>
      </c>
      <c r="G7" s="65"/>
      <c r="H7" s="73" t="str">
        <f ca="1">IFERROR(IF('Ingredient List'!H5="","",HYPERLINK("https://docs.google.com/spreadsheets/d/1o95Ipwx6NIyFV3LCz9LGNbH9_WELHF-pbpkM31YwXyY/edit#gid=0&amp;range=B" &amp; 'Ingredient List'!Q5,VLOOKUP('Ingredient List'!H5,Images!$A:$C,3,FALSE))),'Ingredient List'!H5)</f>
        <v/>
      </c>
      <c r="I7" s="65"/>
      <c r="J7" s="43"/>
      <c r="K7" s="43"/>
      <c r="L7" s="45"/>
      <c r="M7" s="46" t="s">
        <v>357</v>
      </c>
      <c r="N7" s="45"/>
      <c r="O7" s="46" t="s">
        <v>358</v>
      </c>
      <c r="P7" s="45"/>
      <c r="Q7" s="43"/>
      <c r="R7" s="73" t="str">
        <f ca="1">IF('Ingredient List'!B5="","",HYPERLINK("https://docs.google.com/spreadsheets/d/1o95Ipwx6NIyFV3LCz9LGNbH9_WELHF-pbpkM31YwXyY/edit#gid=0&amp;range=B" &amp; 'Ingredient List'!K5,'Ingredient List'!B5))</f>
        <v>Steel</v>
      </c>
      <c r="S7" s="65"/>
      <c r="T7" s="73" t="str">
        <f ca="1">IF('Ingredient List'!D5="","",HYPERLINK("https://docs.google.com/spreadsheets/d/1o95Ipwx6NIyFV3LCz9LGNbH9_WELHF-pbpkM31YwXyY/edit#gid=0&amp;range=B" &amp; 'Ingredient List'!M5,'Ingredient List'!D5))</f>
        <v>Scale</v>
      </c>
      <c r="U7" s="65"/>
      <c r="V7" s="73" t="str">
        <f ca="1">IF('Ingredient List'!F5="","",HYPERLINK("https://docs.google.com/spreadsheets/d/1o95Ipwx6NIyFV3LCz9LGNbH9_WELHF-pbpkM31YwXyY/edit#gid=0&amp;range=B" &amp; 'Ingredient List'!O5,'Ingredient List'!F5))</f>
        <v>Essence</v>
      </c>
      <c r="W7" s="65"/>
      <c r="X7" s="73" t="str">
        <f ca="1">IF('Ingredient List'!H5="","",HYPERLINK("https://docs.google.com/spreadsheets/d/1o95Ipwx6NIyFV3LCz9LGNbH9_WELHF-pbpkM31YwXyY/edit#gid=0&amp;range=B" &amp; 'Ingredient List'!Q5,'Ingredient List'!H5))</f>
        <v>Power</v>
      </c>
      <c r="Y7" s="65"/>
      <c r="Z7" s="43"/>
    </row>
    <row r="8" spans="1:26" ht="37.5" customHeight="1">
      <c r="A8" s="43"/>
      <c r="B8" s="73" t="str">
        <f ca="1">IFERROR(IF('Ingredient List'!B6="","",HYPERLINK("https://docs.google.com/spreadsheets/d/1o95Ipwx6NIyFV3LCz9LGNbH9_WELHF-pbpkM31YwXyY/edit#gid=0&amp;range=B" &amp; 'Ingredient List'!K6,VLOOKUP('Ingredient List'!B6,Images!$A:$C,3,FALSE))),'Ingredient List'!B6)</f>
        <v/>
      </c>
      <c r="C8" s="65"/>
      <c r="D8" s="73" t="str">
        <f ca="1">IFERROR(IF('Ingredient List'!D6="","",HYPERLINK("https://docs.google.com/spreadsheets/d/1o95Ipwx6NIyFV3LCz9LGNbH9_WELHF-pbpkM31YwXyY/edit#gid=0&amp;range=B" &amp; 'Ingredient List'!M6,VLOOKUP('Ingredient List'!D6,Images!$A:$C,3,FALSE))),'Ingredient List'!D6)</f>
        <v/>
      </c>
      <c r="E8" s="65"/>
      <c r="F8" s="74" t="str">
        <f>IFERROR(IF('Ingredient List'!F6="","",HYPERLINK("https://docs.google.com/spreadsheets/d/1o95Ipwx6NIyFV3LCz9LGNbH9_WELHF-pbpkM31YwXyY/edit#gid=0&amp;range=B" &amp; 'Ingredient List'!O6,VLOOKUP('Ingredient List'!F6,Images!$A:$C,3,FALSE))),'Ingredient List'!F6)</f>
        <v/>
      </c>
      <c r="G8" s="65"/>
      <c r="H8" s="74" t="str">
        <f>IFERROR(IF('Ingredient List'!H6="","",HYPERLINK("https://docs.google.com/spreadsheets/d/1o95Ipwx6NIyFV3LCz9LGNbH9_WELHF-pbpkM31YwXyY/edit#gid=0&amp;range=B" &amp; 'Ingredient List'!Q6,VLOOKUP('Ingredient List'!H6,Images!$A:$C,3,FALSE))),'Ingredient List'!H6)</f>
        <v/>
      </c>
      <c r="I8" s="65"/>
      <c r="J8" s="43"/>
      <c r="K8" s="43"/>
      <c r="L8" s="45"/>
      <c r="M8" s="46" t="s">
        <v>357</v>
      </c>
      <c r="N8" s="45"/>
      <c r="O8" s="46" t="s">
        <v>358</v>
      </c>
      <c r="P8" s="45"/>
      <c r="Q8" s="43"/>
      <c r="R8" s="73" t="str">
        <f ca="1">IF('Ingredient List'!B6="","",HYPERLINK("https://docs.google.com/spreadsheets/d/1o95Ipwx6NIyFV3LCz9LGNbH9_WELHF-pbpkM31YwXyY/edit#gid=0&amp;range=B" &amp; 'Ingredient List'!K6,'Ingredient List'!B6))</f>
        <v>Shadow</v>
      </c>
      <c r="S8" s="65"/>
      <c r="T8" s="73" t="str">
        <f ca="1">IF('Ingredient List'!D6="","",HYPERLINK("https://docs.google.com/spreadsheets/d/1o95Ipwx6NIyFV3LCz9LGNbH9_WELHF-pbpkM31YwXyY/edit#gid=0&amp;range=B" &amp; 'Ingredient List'!M6,'Ingredient List'!D6))</f>
        <v>Spirit</v>
      </c>
      <c r="U8" s="65"/>
      <c r="V8" s="74" t="str">
        <f>IF('Ingredient List'!F6="","",HYPERLINK("https://docs.google.com/spreadsheets/d/1o95Ipwx6NIyFV3LCz9LGNbH9_WELHF-pbpkM31YwXyY/edit#gid=0&amp;range=B" &amp; 'Ingredient List'!O6,'Ingredient List'!F6))</f>
        <v/>
      </c>
      <c r="W8" s="65"/>
      <c r="X8" s="74" t="str">
        <f>IF('Ingredient List'!H6="","",HYPERLINK("https://docs.google.com/spreadsheets/d/1o95Ipwx6NIyFV3LCz9LGNbH9_WELHF-pbpkM31YwXyY/edit#gid=0&amp;range=B" &amp; 'Ingredient List'!Q6,'Ingredient List'!H6))</f>
        <v/>
      </c>
      <c r="Y8" s="65"/>
      <c r="Z8" s="43"/>
    </row>
    <row r="9" spans="1:26" ht="37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5"/>
      <c r="M9" s="46" t="s">
        <v>357</v>
      </c>
      <c r="N9" s="45"/>
      <c r="O9" s="46" t="s">
        <v>358</v>
      </c>
      <c r="P9" s="45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37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5"/>
      <c r="M10" s="46" t="s">
        <v>357</v>
      </c>
      <c r="N10" s="45"/>
      <c r="O10" s="46" t="s">
        <v>358</v>
      </c>
      <c r="P10" s="45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37.5" customHeight="1">
      <c r="A11" s="43"/>
      <c r="B11" s="68" t="str">
        <f>R11</f>
        <v>Leaf Recipes</v>
      </c>
      <c r="C11" s="69"/>
      <c r="D11" s="69"/>
      <c r="E11" s="69"/>
      <c r="F11" s="69"/>
      <c r="G11" s="69"/>
      <c r="H11" s="69"/>
      <c r="I11" s="65"/>
      <c r="J11" s="43"/>
      <c r="K11" s="43"/>
      <c r="L11" s="45"/>
      <c r="M11" s="46" t="s">
        <v>357</v>
      </c>
      <c r="N11" s="45"/>
      <c r="O11" s="46" t="s">
        <v>358</v>
      </c>
      <c r="P11" s="45"/>
      <c r="Q11" s="43"/>
      <c r="R11" s="85" t="s">
        <v>439</v>
      </c>
      <c r="S11" s="69"/>
      <c r="T11" s="69"/>
      <c r="U11" s="69"/>
      <c r="V11" s="69"/>
      <c r="W11" s="69"/>
      <c r="X11" s="69"/>
      <c r="Y11" s="65"/>
      <c r="Z11" s="43"/>
    </row>
    <row r="12" spans="1:26" ht="37.5" customHeight="1">
      <c r="A12" s="43"/>
      <c r="B12" s="66" t="str">
        <f ca="1">IFERROR(VLOOKUP(R12,Images!$A:$C,3,FALSE),R12)</f>
        <v>Leaf</v>
      </c>
      <c r="C12" s="65"/>
      <c r="D12" s="46" t="s">
        <v>357</v>
      </c>
      <c r="E12" s="66" t="str">
        <f ca="1">IFERROR(VLOOKUP(U12,Images!$A:$C,3,FALSE),"")</f>
        <v/>
      </c>
      <c r="F12" s="65"/>
      <c r="G12" s="46" t="s">
        <v>358</v>
      </c>
      <c r="H12" s="64" t="str">
        <f>IFERROR(VLOOKUP(X12,Images!$A:$C,3,FALSE),X12)</f>
        <v>10 Currency</v>
      </c>
      <c r="I12" s="65"/>
      <c r="J12" s="43"/>
      <c r="K12" s="43"/>
      <c r="L12" s="45"/>
      <c r="M12" s="46" t="s">
        <v>357</v>
      </c>
      <c r="N12" s="45"/>
      <c r="O12" s="46" t="s">
        <v>358</v>
      </c>
      <c r="P12" s="45"/>
      <c r="Q12" s="43"/>
      <c r="R12" s="84" t="s">
        <v>0</v>
      </c>
      <c r="S12" s="65"/>
      <c r="T12" s="46" t="s">
        <v>357</v>
      </c>
      <c r="U12" s="84" t="s">
        <v>0</v>
      </c>
      <c r="V12" s="65"/>
      <c r="W12" s="46" t="s">
        <v>358</v>
      </c>
      <c r="X12" s="82" t="s">
        <v>386</v>
      </c>
      <c r="Y12" s="65"/>
      <c r="Z12" s="43"/>
    </row>
    <row r="13" spans="1:26" ht="37.5" customHeight="1">
      <c r="A13" s="43"/>
      <c r="B13" s="66" t="str">
        <f ca="1">IFERROR(VLOOKUP(R13,Images!$A:$C,3,FALSE),R13)</f>
        <v>Leaf</v>
      </c>
      <c r="C13" s="65"/>
      <c r="D13" s="46" t="s">
        <v>357</v>
      </c>
      <c r="E13" s="66" t="str">
        <f ca="1">IFERROR(VLOOKUP(U13,Images!$A:$C,3,FALSE),"")</f>
        <v/>
      </c>
      <c r="F13" s="65"/>
      <c r="G13" s="46" t="s">
        <v>358</v>
      </c>
      <c r="H13" s="64">
        <f>IFERROR(VLOOKUP(X13,Images!$A:$C,3,FALSE),X13)</f>
        <v>0</v>
      </c>
      <c r="I13" s="65"/>
      <c r="J13" s="43"/>
      <c r="K13" s="43"/>
      <c r="L13" s="45"/>
      <c r="M13" s="46" t="s">
        <v>357</v>
      </c>
      <c r="N13" s="45"/>
      <c r="O13" s="46" t="s">
        <v>358</v>
      </c>
      <c r="P13" s="45"/>
      <c r="Q13" s="43"/>
      <c r="R13" s="84" t="s">
        <v>0</v>
      </c>
      <c r="S13" s="65"/>
      <c r="T13" s="46" t="s">
        <v>357</v>
      </c>
      <c r="U13" s="84" t="s">
        <v>1</v>
      </c>
      <c r="V13" s="65"/>
      <c r="W13" s="46" t="s">
        <v>358</v>
      </c>
      <c r="X13" s="82"/>
      <c r="Y13" s="65"/>
      <c r="Z13" s="43"/>
    </row>
    <row r="14" spans="1:26" ht="37.5" customHeight="1">
      <c r="A14" s="43"/>
      <c r="B14" s="66" t="str">
        <f ca="1">IFERROR(VLOOKUP(R14,Images!$A:$C,3,FALSE),R14)</f>
        <v>Leaf</v>
      </c>
      <c r="C14" s="65"/>
      <c r="D14" s="46" t="s">
        <v>357</v>
      </c>
      <c r="E14" s="66" t="str">
        <f ca="1">IFERROR(VLOOKUP(U14,Images!$A:$C,3,FALSE),"")</f>
        <v/>
      </c>
      <c r="F14" s="65"/>
      <c r="G14" s="46" t="s">
        <v>358</v>
      </c>
      <c r="H14" s="64">
        <f>IFERROR(VLOOKUP(X14,Images!$A:$C,3,FALSE),X14)</f>
        <v>0</v>
      </c>
      <c r="I14" s="65"/>
      <c r="J14" s="43"/>
      <c r="K14" s="43"/>
      <c r="L14" s="45"/>
      <c r="M14" s="46" t="s">
        <v>357</v>
      </c>
      <c r="N14" s="45"/>
      <c r="O14" s="46" t="s">
        <v>358</v>
      </c>
      <c r="P14" s="45"/>
      <c r="Q14" s="43"/>
      <c r="R14" s="84" t="s">
        <v>0</v>
      </c>
      <c r="S14" s="65"/>
      <c r="T14" s="46" t="s">
        <v>357</v>
      </c>
      <c r="U14" s="84" t="s">
        <v>2</v>
      </c>
      <c r="V14" s="65"/>
      <c r="W14" s="46" t="s">
        <v>358</v>
      </c>
      <c r="X14" s="82"/>
      <c r="Y14" s="65"/>
      <c r="Z14" s="43"/>
    </row>
    <row r="15" spans="1:26" ht="37.5" customHeight="1">
      <c r="A15" s="43"/>
      <c r="B15" s="66" t="str">
        <f ca="1">IFERROR(VLOOKUP(R15,Images!$A:$C,3,FALSE),R15)</f>
        <v>Leaf</v>
      </c>
      <c r="C15" s="65"/>
      <c r="D15" s="46" t="s">
        <v>357</v>
      </c>
      <c r="E15" s="66" t="str">
        <f ca="1">IFERROR(VLOOKUP(U15,Images!$A:$C,3,FALSE),"")</f>
        <v/>
      </c>
      <c r="F15" s="65"/>
      <c r="G15" s="46" t="s">
        <v>358</v>
      </c>
      <c r="H15" s="64">
        <f>IFERROR(VLOOKUP(X15,Images!$A:$C,3,FALSE),X15)</f>
        <v>0</v>
      </c>
      <c r="I15" s="65"/>
      <c r="J15" s="43"/>
      <c r="K15" s="43"/>
      <c r="L15" s="45"/>
      <c r="M15" s="46" t="s">
        <v>357</v>
      </c>
      <c r="N15" s="45"/>
      <c r="O15" s="46" t="s">
        <v>358</v>
      </c>
      <c r="P15" s="45"/>
      <c r="Q15" s="43"/>
      <c r="R15" s="84" t="s">
        <v>0</v>
      </c>
      <c r="S15" s="65"/>
      <c r="T15" s="46" t="s">
        <v>357</v>
      </c>
      <c r="U15" s="84" t="s">
        <v>3</v>
      </c>
      <c r="V15" s="65"/>
      <c r="W15" s="46" t="s">
        <v>358</v>
      </c>
      <c r="X15" s="82"/>
      <c r="Y15" s="65"/>
      <c r="Z15" s="43"/>
    </row>
    <row r="16" spans="1:26" ht="37.5" customHeight="1">
      <c r="A16" s="43"/>
      <c r="B16" s="66" t="str">
        <f ca="1">IFERROR(VLOOKUP(R16,Images!$A:$C,3,FALSE),R16)</f>
        <v>Leaf</v>
      </c>
      <c r="C16" s="65"/>
      <c r="D16" s="46" t="s">
        <v>357</v>
      </c>
      <c r="E16" s="66" t="str">
        <f ca="1">IFERROR(VLOOKUP(U16,Images!$A:$C,3,FALSE),"")</f>
        <v/>
      </c>
      <c r="F16" s="65"/>
      <c r="G16" s="46" t="s">
        <v>358</v>
      </c>
      <c r="H16" s="64" t="str">
        <f>IFERROR(VLOOKUP(X16,Images!$A:$C,3,FALSE),X16)</f>
        <v>16 Raid Card Fragments</v>
      </c>
      <c r="I16" s="65"/>
      <c r="J16" s="43"/>
      <c r="K16" s="43"/>
      <c r="L16" s="45"/>
      <c r="M16" s="46" t="s">
        <v>357</v>
      </c>
      <c r="N16" s="45"/>
      <c r="O16" s="46" t="s">
        <v>358</v>
      </c>
      <c r="P16" s="45"/>
      <c r="Q16" s="43"/>
      <c r="R16" s="84" t="s">
        <v>0</v>
      </c>
      <c r="S16" s="65"/>
      <c r="T16" s="46" t="s">
        <v>357</v>
      </c>
      <c r="U16" s="84" t="s">
        <v>4</v>
      </c>
      <c r="V16" s="65"/>
      <c r="W16" s="46" t="s">
        <v>358</v>
      </c>
      <c r="X16" s="82" t="s">
        <v>387</v>
      </c>
      <c r="Y16" s="65"/>
      <c r="Z16" s="43"/>
    </row>
    <row r="17" spans="1:26" ht="37.5" customHeight="1">
      <c r="A17" s="43"/>
      <c r="B17" s="66" t="str">
        <f ca="1">IFERROR(VLOOKUP(R17,Images!$A:$C,3,FALSE),R17)</f>
        <v>Leaf</v>
      </c>
      <c r="C17" s="65"/>
      <c r="D17" s="46" t="s">
        <v>357</v>
      </c>
      <c r="E17" s="66" t="str">
        <f ca="1">IFERROR(VLOOKUP(U17,Images!$A:$C,3,FALSE),"")</f>
        <v/>
      </c>
      <c r="F17" s="65"/>
      <c r="G17" s="46" t="s">
        <v>358</v>
      </c>
      <c r="H17" s="64" t="str">
        <f>IFERROR(VLOOKUP(X17,Images!$A:$C,3,FALSE),X17)</f>
        <v>26 Currency</v>
      </c>
      <c r="I17" s="65"/>
      <c r="J17" s="43"/>
      <c r="K17" s="43"/>
      <c r="L17" s="43"/>
      <c r="M17" s="43"/>
      <c r="N17" s="43"/>
      <c r="O17" s="43"/>
      <c r="P17" s="43"/>
      <c r="Q17" s="43"/>
      <c r="R17" s="84" t="s">
        <v>0</v>
      </c>
      <c r="S17" s="65"/>
      <c r="T17" s="46" t="s">
        <v>357</v>
      </c>
      <c r="U17" s="84" t="s">
        <v>5</v>
      </c>
      <c r="V17" s="65"/>
      <c r="W17" s="46" t="s">
        <v>358</v>
      </c>
      <c r="X17" s="82" t="s">
        <v>388</v>
      </c>
      <c r="Y17" s="65"/>
      <c r="Z17" s="43"/>
    </row>
    <row r="18" spans="1:26" ht="37.5" customHeight="1">
      <c r="A18" s="43"/>
      <c r="B18" s="66" t="str">
        <f ca="1">IFERROR(VLOOKUP(R18,Images!$A:$C,3,FALSE),R18)</f>
        <v>Leaf</v>
      </c>
      <c r="C18" s="65"/>
      <c r="D18" s="46" t="s">
        <v>357</v>
      </c>
      <c r="E18" s="66" t="str">
        <f ca="1">IFERROR(VLOOKUP(U18,Images!$A:$C,3,FALSE),"")</f>
        <v/>
      </c>
      <c r="F18" s="65"/>
      <c r="G18" s="46" t="s">
        <v>358</v>
      </c>
      <c r="H18" s="64" t="str">
        <f>IFERROR(VLOOKUP(X18,Images!$A:$C,3,FALSE),X18)</f>
        <v>38 Currency</v>
      </c>
      <c r="I18" s="65"/>
      <c r="J18" s="43"/>
      <c r="K18" s="43"/>
      <c r="L18" s="43"/>
      <c r="M18" s="43"/>
      <c r="N18" s="43"/>
      <c r="O18" s="43"/>
      <c r="P18" s="43"/>
      <c r="Q18" s="43"/>
      <c r="R18" s="84" t="s">
        <v>0</v>
      </c>
      <c r="S18" s="65"/>
      <c r="T18" s="46" t="s">
        <v>357</v>
      </c>
      <c r="U18" s="84" t="s">
        <v>6</v>
      </c>
      <c r="V18" s="65"/>
      <c r="W18" s="46" t="s">
        <v>358</v>
      </c>
      <c r="X18" s="82" t="s">
        <v>44</v>
      </c>
      <c r="Y18" s="65"/>
      <c r="Z18" s="43"/>
    </row>
    <row r="19" spans="1:26" ht="37.5" customHeight="1">
      <c r="A19" s="43"/>
      <c r="B19" s="66" t="str">
        <f ca="1">IFERROR(VLOOKUP(R19,Images!$A:$C,3,FALSE),R19)</f>
        <v>Leaf</v>
      </c>
      <c r="C19" s="65"/>
      <c r="D19" s="46" t="s">
        <v>357</v>
      </c>
      <c r="E19" s="66" t="str">
        <f ca="1">IFERROR(VLOOKUP(U19,Images!$A:$C,3,FALSE),"")</f>
        <v/>
      </c>
      <c r="F19" s="65"/>
      <c r="G19" s="46" t="s">
        <v>358</v>
      </c>
      <c r="H19" s="64" t="str">
        <f>IFERROR(VLOOKUP(X19,Images!$A:$C,3,FALSE),X19)</f>
        <v>430 Dust</v>
      </c>
      <c r="I19" s="65"/>
      <c r="J19" s="43"/>
      <c r="K19" s="43"/>
      <c r="L19" s="43"/>
      <c r="M19" s="43"/>
      <c r="N19" s="43"/>
      <c r="O19" s="43"/>
      <c r="P19" s="43"/>
      <c r="Q19" s="43"/>
      <c r="R19" s="84" t="s">
        <v>0</v>
      </c>
      <c r="S19" s="65"/>
      <c r="T19" s="46" t="s">
        <v>357</v>
      </c>
      <c r="U19" s="84" t="s">
        <v>7</v>
      </c>
      <c r="V19" s="65"/>
      <c r="W19" s="46" t="s">
        <v>358</v>
      </c>
      <c r="X19" s="82" t="s">
        <v>389</v>
      </c>
      <c r="Y19" s="65"/>
      <c r="Z19" s="43"/>
    </row>
    <row r="20" spans="1:26" ht="37.5" customHeight="1">
      <c r="A20" s="43"/>
      <c r="B20" s="66" t="str">
        <f ca="1">IFERROR(VLOOKUP(R20,Images!$A:$C,3,FALSE),R20)</f>
        <v>Leaf</v>
      </c>
      <c r="C20" s="65"/>
      <c r="D20" s="46" t="s">
        <v>357</v>
      </c>
      <c r="E20" s="66" t="str">
        <f ca="1">IFERROR(VLOOKUP(U20,Images!$A:$C,3,FALSE),"")</f>
        <v/>
      </c>
      <c r="F20" s="65"/>
      <c r="G20" s="46" t="s">
        <v>358</v>
      </c>
      <c r="H20" s="64" t="str">
        <f>IFERROR(VLOOKUP(X20,Images!$A:$C,3,FALSE),X20)</f>
        <v>49 Currency</v>
      </c>
      <c r="I20" s="65"/>
      <c r="J20" s="43"/>
      <c r="K20" s="43"/>
      <c r="L20" s="43"/>
      <c r="M20" s="43"/>
      <c r="N20" s="43"/>
      <c r="O20" s="43"/>
      <c r="P20" s="43"/>
      <c r="Q20" s="43"/>
      <c r="R20" s="84" t="s">
        <v>0</v>
      </c>
      <c r="S20" s="65"/>
      <c r="T20" s="46" t="s">
        <v>357</v>
      </c>
      <c r="U20" s="84" t="s">
        <v>8</v>
      </c>
      <c r="V20" s="65"/>
      <c r="W20" s="46" t="s">
        <v>358</v>
      </c>
      <c r="X20" s="82" t="s">
        <v>170</v>
      </c>
      <c r="Y20" s="65"/>
      <c r="Z20" s="43"/>
    </row>
    <row r="21" spans="1:26" ht="37.5" customHeight="1">
      <c r="A21" s="43"/>
      <c r="B21" s="66" t="str">
        <f ca="1">IFERROR(VLOOKUP(R21,Images!$A:$C,3,FALSE),R21)</f>
        <v>Leaf</v>
      </c>
      <c r="C21" s="65"/>
      <c r="D21" s="46" t="s">
        <v>357</v>
      </c>
      <c r="E21" s="66" t="str">
        <f ca="1">IFERROR(VLOOKUP(U21,Images!$A:$C,3,FALSE),"")</f>
        <v/>
      </c>
      <c r="F21" s="65"/>
      <c r="G21" s="46" t="s">
        <v>358</v>
      </c>
      <c r="H21" s="64" t="str">
        <f>IFERROR(VLOOKUP(X21,Images!$A:$C,3,FALSE),X21)</f>
        <v>820 Dust</v>
      </c>
      <c r="I21" s="65"/>
      <c r="J21" s="43"/>
      <c r="K21" s="43"/>
      <c r="L21" s="43"/>
      <c r="M21" s="43"/>
      <c r="N21" s="43"/>
      <c r="O21" s="43"/>
      <c r="P21" s="43"/>
      <c r="Q21" s="43"/>
      <c r="R21" s="84" t="s">
        <v>0</v>
      </c>
      <c r="S21" s="65"/>
      <c r="T21" s="46" t="s">
        <v>357</v>
      </c>
      <c r="U21" s="84" t="s">
        <v>9</v>
      </c>
      <c r="V21" s="65"/>
      <c r="W21" s="46" t="s">
        <v>358</v>
      </c>
      <c r="X21" s="82" t="s">
        <v>328</v>
      </c>
      <c r="Y21" s="65"/>
      <c r="Z21" s="43"/>
    </row>
    <row r="22" spans="1:26" ht="37.5" customHeight="1">
      <c r="A22" s="43"/>
      <c r="B22" s="66" t="str">
        <f ca="1">IFERROR(VLOOKUP(R22,Images!$A:$C,3,FALSE),R22)</f>
        <v>Leaf</v>
      </c>
      <c r="C22" s="65"/>
      <c r="D22" s="46" t="s">
        <v>357</v>
      </c>
      <c r="E22" s="66" t="str">
        <f ca="1">IFERROR(VLOOKUP(U22,Images!$A:$C,3,FALSE),"")</f>
        <v/>
      </c>
      <c r="F22" s="65"/>
      <c r="G22" s="46" t="s">
        <v>358</v>
      </c>
      <c r="H22" s="64" t="str">
        <f>IFERROR(VLOOKUP(X22,Images!$A:$C,3,FALSE),X22)</f>
        <v>84 Currency</v>
      </c>
      <c r="I22" s="65"/>
      <c r="J22" s="43"/>
      <c r="K22" s="43"/>
      <c r="L22" s="43"/>
      <c r="M22" s="43"/>
      <c r="N22" s="43"/>
      <c r="O22" s="43"/>
      <c r="P22" s="43"/>
      <c r="Q22" s="43"/>
      <c r="R22" s="84" t="s">
        <v>0</v>
      </c>
      <c r="S22" s="65"/>
      <c r="T22" s="46" t="s">
        <v>357</v>
      </c>
      <c r="U22" s="84" t="s">
        <v>10</v>
      </c>
      <c r="V22" s="65"/>
      <c r="W22" s="46" t="s">
        <v>358</v>
      </c>
      <c r="X22" s="82" t="s">
        <v>249</v>
      </c>
      <c r="Y22" s="65"/>
      <c r="Z22" s="43"/>
    </row>
    <row r="23" spans="1:26" ht="37.5" customHeight="1">
      <c r="A23" s="43"/>
      <c r="B23" s="66" t="str">
        <f ca="1">IFERROR(VLOOKUP(R23,Images!$A:$C,3,FALSE),R23)</f>
        <v>Leaf</v>
      </c>
      <c r="C23" s="65"/>
      <c r="D23" s="46" t="s">
        <v>357</v>
      </c>
      <c r="E23" s="66" t="str">
        <f ca="1">IFERROR(VLOOKUP(U23,Images!$A:$C,3,FALSE),"")</f>
        <v/>
      </c>
      <c r="F23" s="65"/>
      <c r="G23" s="46" t="s">
        <v>358</v>
      </c>
      <c r="H23" s="64">
        <f>IFERROR(VLOOKUP(X23,Images!$A:$C,3,FALSE),X23)</f>
        <v>0</v>
      </c>
      <c r="I23" s="65"/>
      <c r="J23" s="43"/>
      <c r="K23" s="43"/>
      <c r="L23" s="43"/>
      <c r="M23" s="43"/>
      <c r="N23" s="43"/>
      <c r="O23" s="43"/>
      <c r="P23" s="43"/>
      <c r="Q23" s="43"/>
      <c r="R23" s="84" t="s">
        <v>0</v>
      </c>
      <c r="S23" s="65"/>
      <c r="T23" s="46" t="s">
        <v>357</v>
      </c>
      <c r="U23" s="84" t="s">
        <v>11</v>
      </c>
      <c r="V23" s="65"/>
      <c r="W23" s="46" t="s">
        <v>358</v>
      </c>
      <c r="X23" s="82"/>
      <c r="Y23" s="65"/>
      <c r="Z23" s="43"/>
    </row>
    <row r="24" spans="1:26" ht="37.5" customHeight="1">
      <c r="A24" s="43"/>
      <c r="B24" s="66" t="str">
        <f ca="1">IFERROR(VLOOKUP(R24,Images!$A:$C,3,FALSE),R24)</f>
        <v>Leaf</v>
      </c>
      <c r="C24" s="65"/>
      <c r="D24" s="46" t="s">
        <v>357</v>
      </c>
      <c r="E24" s="66" t="str">
        <f ca="1">IFERROR(VLOOKUP(U24,Images!$A:$C,3,FALSE),"")</f>
        <v/>
      </c>
      <c r="F24" s="65"/>
      <c r="G24" s="46" t="s">
        <v>358</v>
      </c>
      <c r="H24" s="64" t="str">
        <f>IFERROR(VLOOKUP(X24,Images!$A:$C,3,FALSE),X24)</f>
        <v>47 Wildcards</v>
      </c>
      <c r="I24" s="65"/>
      <c r="J24" s="43"/>
      <c r="K24" s="43"/>
      <c r="L24" s="43"/>
      <c r="M24" s="43"/>
      <c r="N24" s="43"/>
      <c r="O24" s="43"/>
      <c r="P24" s="43"/>
      <c r="Q24" s="43"/>
      <c r="R24" s="84" t="s">
        <v>0</v>
      </c>
      <c r="S24" s="65"/>
      <c r="T24" s="46" t="s">
        <v>357</v>
      </c>
      <c r="U24" s="84" t="s">
        <v>12</v>
      </c>
      <c r="V24" s="65"/>
      <c r="W24" s="46" t="s">
        <v>358</v>
      </c>
      <c r="X24" s="82" t="s">
        <v>390</v>
      </c>
      <c r="Y24" s="65"/>
      <c r="Z24" s="43"/>
    </row>
    <row r="25" spans="1:26" ht="37.5" customHeight="1">
      <c r="A25" s="43"/>
      <c r="B25" s="66" t="str">
        <f ca="1">IFERROR(VLOOKUP(R25,Images!$A:$C,3,FALSE),R25)</f>
        <v>Leaf</v>
      </c>
      <c r="C25" s="65"/>
      <c r="D25" s="46" t="s">
        <v>357</v>
      </c>
      <c r="E25" s="66" t="str">
        <f ca="1">IFERROR(VLOOKUP(U25,Images!$A:$C,3,FALSE),"")</f>
        <v/>
      </c>
      <c r="F25" s="65"/>
      <c r="G25" s="46" t="s">
        <v>358</v>
      </c>
      <c r="H25" s="64" t="str">
        <f>IFERROR(VLOOKUP(X25,Images!$A:$C,3,FALSE),X25)</f>
        <v>1 Skill Point</v>
      </c>
      <c r="I25" s="65"/>
      <c r="J25" s="43"/>
      <c r="K25" s="43"/>
      <c r="L25" s="43"/>
      <c r="M25" s="43"/>
      <c r="N25" s="43"/>
      <c r="O25" s="43"/>
      <c r="P25" s="43"/>
      <c r="Q25" s="43"/>
      <c r="R25" s="84" t="s">
        <v>0</v>
      </c>
      <c r="S25" s="65"/>
      <c r="T25" s="46" t="s">
        <v>357</v>
      </c>
      <c r="U25" s="84" t="s">
        <v>13</v>
      </c>
      <c r="V25" s="65"/>
      <c r="W25" s="46" t="s">
        <v>358</v>
      </c>
      <c r="X25" s="82" t="s">
        <v>106</v>
      </c>
      <c r="Y25" s="65"/>
      <c r="Z25" s="43"/>
    </row>
    <row r="26" spans="1:26" ht="37.5" customHeight="1">
      <c r="A26" s="43"/>
      <c r="B26" s="43"/>
      <c r="C26" s="43"/>
      <c r="D26" s="43"/>
      <c r="E26" s="43"/>
      <c r="F26" s="43"/>
      <c r="G26" s="43"/>
      <c r="H26" s="67" t="str">
        <f>HYPERLINK("https://docs.google.com/spreadsheets/d/1o95Ipwx6NIyFV3LCz9LGNbH9_WELHF-pbpkM31YwXyY/edit#gid=0&amp;range=A1","Back to Top")</f>
        <v>Back to Top</v>
      </c>
      <c r="I26" s="6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83" t="s">
        <v>440</v>
      </c>
      <c r="Y26" s="65"/>
      <c r="Z26" s="43"/>
    </row>
    <row r="27" spans="1:26" ht="37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37.5" customHeight="1">
      <c r="A28" s="43"/>
      <c r="B28" s="68" t="str">
        <f>R28</f>
        <v>Sand Recipes</v>
      </c>
      <c r="C28" s="69"/>
      <c r="D28" s="69"/>
      <c r="E28" s="69"/>
      <c r="F28" s="69"/>
      <c r="G28" s="69"/>
      <c r="H28" s="69"/>
      <c r="I28" s="65"/>
      <c r="J28" s="43"/>
      <c r="K28" s="43"/>
      <c r="L28" s="43"/>
      <c r="M28" s="43"/>
      <c r="N28" s="43"/>
      <c r="O28" s="43"/>
      <c r="P28" s="43"/>
      <c r="Q28" s="43"/>
      <c r="R28" s="85" t="s">
        <v>441</v>
      </c>
      <c r="S28" s="69"/>
      <c r="T28" s="69"/>
      <c r="U28" s="69"/>
      <c r="V28" s="69"/>
      <c r="W28" s="69"/>
      <c r="X28" s="69"/>
      <c r="Y28" s="65"/>
      <c r="Z28" s="43"/>
    </row>
    <row r="29" spans="1:26" ht="37.5" customHeight="1">
      <c r="A29" s="43"/>
      <c r="B29" s="66" t="str">
        <f ca="1">IFERROR(VLOOKUP(R29,Images!$A:$C,3,FALSE),R29)</f>
        <v>Sand</v>
      </c>
      <c r="C29" s="65"/>
      <c r="D29" s="46" t="s">
        <v>357</v>
      </c>
      <c r="E29" s="66" t="str">
        <f ca="1">IFERROR(VLOOKUP(U29,Images!$A:$C,3,FALSE),"")</f>
        <v/>
      </c>
      <c r="F29" s="65"/>
      <c r="G29" s="46" t="s">
        <v>358</v>
      </c>
      <c r="H29" s="64">
        <f>IFERROR(VLOOKUP(X13,Images!$A:$C,3,FALSE),X13)</f>
        <v>0</v>
      </c>
      <c r="I29" s="65"/>
      <c r="J29" s="43"/>
      <c r="K29" s="43"/>
      <c r="L29" s="43"/>
      <c r="M29" s="43"/>
      <c r="N29" s="43"/>
      <c r="O29" s="43"/>
      <c r="P29" s="43"/>
      <c r="Q29" s="43"/>
      <c r="R29" s="84" t="s">
        <v>1</v>
      </c>
      <c r="S29" s="65"/>
      <c r="T29" s="46" t="s">
        <v>357</v>
      </c>
      <c r="U29" s="84" t="s">
        <v>0</v>
      </c>
      <c r="V29" s="65"/>
      <c r="W29" s="46" t="s">
        <v>358</v>
      </c>
      <c r="X29" s="82"/>
      <c r="Y29" s="65"/>
      <c r="Z29" s="43"/>
    </row>
    <row r="30" spans="1:26" ht="37.5" customHeight="1">
      <c r="A30" s="43"/>
      <c r="B30" s="66" t="str">
        <f ca="1">IFERROR(VLOOKUP(R30,Images!$A:$C,3,FALSE),R30)</f>
        <v>Sand</v>
      </c>
      <c r="C30" s="65"/>
      <c r="D30" s="46" t="s">
        <v>357</v>
      </c>
      <c r="E30" s="66" t="str">
        <f ca="1">IFERROR(VLOOKUP(U30,Images!$A:$C,3,FALSE),"")</f>
        <v/>
      </c>
      <c r="F30" s="65"/>
      <c r="G30" s="46" t="s">
        <v>358</v>
      </c>
      <c r="H30" s="64" t="str">
        <f>IFERROR(VLOOKUP(X30,Images!$A:$C,3,FALSE),X30)</f>
        <v>10 Currency</v>
      </c>
      <c r="I30" s="65"/>
      <c r="J30" s="43"/>
      <c r="K30" s="43"/>
      <c r="L30" s="43"/>
      <c r="M30" s="43"/>
      <c r="N30" s="43"/>
      <c r="O30" s="43"/>
      <c r="P30" s="43"/>
      <c r="Q30" s="43"/>
      <c r="R30" s="84" t="s">
        <v>1</v>
      </c>
      <c r="S30" s="65"/>
      <c r="T30" s="46" t="s">
        <v>357</v>
      </c>
      <c r="U30" s="84" t="s">
        <v>1</v>
      </c>
      <c r="V30" s="65"/>
      <c r="W30" s="46" t="s">
        <v>358</v>
      </c>
      <c r="X30" s="82" t="s">
        <v>386</v>
      </c>
      <c r="Y30" s="65"/>
      <c r="Z30" s="43"/>
    </row>
    <row r="31" spans="1:26" ht="37.5" customHeight="1">
      <c r="A31" s="43"/>
      <c r="B31" s="66" t="str">
        <f ca="1">IFERROR(VLOOKUP(R31,Images!$A:$C,3,FALSE),R31)</f>
        <v>Sand</v>
      </c>
      <c r="C31" s="65"/>
      <c r="D31" s="46" t="s">
        <v>357</v>
      </c>
      <c r="E31" s="66" t="str">
        <f ca="1">IFERROR(VLOOKUP(U31,Images!$A:$C,3,FALSE),"")</f>
        <v/>
      </c>
      <c r="F31" s="65"/>
      <c r="G31" s="46" t="s">
        <v>358</v>
      </c>
      <c r="H31" s="64" t="str">
        <f>IFERROR(VLOOKUP(X31,Images!$A:$C,3,FALSE),X31)</f>
        <v>15 Common Equipment</v>
      </c>
      <c r="I31" s="65"/>
      <c r="J31" s="43"/>
      <c r="K31" s="43"/>
      <c r="L31" s="43"/>
      <c r="M31" s="43"/>
      <c r="N31" s="43"/>
      <c r="O31" s="43"/>
      <c r="P31" s="43"/>
      <c r="Q31" s="43"/>
      <c r="R31" s="84" t="s">
        <v>1</v>
      </c>
      <c r="S31" s="65"/>
      <c r="T31" s="46" t="s">
        <v>357</v>
      </c>
      <c r="U31" s="84" t="s">
        <v>2</v>
      </c>
      <c r="V31" s="65"/>
      <c r="W31" s="46" t="s">
        <v>358</v>
      </c>
      <c r="X31" s="82" t="s">
        <v>32</v>
      </c>
      <c r="Y31" s="65"/>
      <c r="Z31" s="43"/>
    </row>
    <row r="32" spans="1:26" ht="37.5" customHeight="1">
      <c r="A32" s="43"/>
      <c r="B32" s="66" t="str">
        <f ca="1">IFERROR(VLOOKUP(R32,Images!$A:$C,3,FALSE),R32)</f>
        <v>Sand</v>
      </c>
      <c r="C32" s="65"/>
      <c r="D32" s="46" t="s">
        <v>357</v>
      </c>
      <c r="E32" s="66" t="str">
        <f ca="1">IFERROR(VLOOKUP(U32,Images!$A:$C,3,FALSE),"")</f>
        <v/>
      </c>
      <c r="F32" s="65"/>
      <c r="G32" s="46" t="s">
        <v>358</v>
      </c>
      <c r="H32" s="64">
        <f>IFERROR(VLOOKUP(X32,Images!$A:$C,3,FALSE),X32)</f>
        <v>0</v>
      </c>
      <c r="I32" s="65"/>
      <c r="J32" s="43"/>
      <c r="K32" s="43"/>
      <c r="L32" s="43"/>
      <c r="M32" s="43"/>
      <c r="N32" s="43"/>
      <c r="O32" s="43"/>
      <c r="P32" s="43"/>
      <c r="Q32" s="43"/>
      <c r="R32" s="84" t="s">
        <v>1</v>
      </c>
      <c r="S32" s="65"/>
      <c r="T32" s="46" t="s">
        <v>357</v>
      </c>
      <c r="U32" s="84" t="s">
        <v>3</v>
      </c>
      <c r="V32" s="65"/>
      <c r="W32" s="46" t="s">
        <v>358</v>
      </c>
      <c r="X32" s="82"/>
      <c r="Y32" s="65"/>
      <c r="Z32" s="43"/>
    </row>
    <row r="33" spans="1:26" ht="37.5" customHeight="1">
      <c r="A33" s="43"/>
      <c r="B33" s="66" t="str">
        <f ca="1">IFERROR(VLOOKUP(R33,Images!$A:$C,3,FALSE),R33)</f>
        <v>Sand</v>
      </c>
      <c r="C33" s="65"/>
      <c r="D33" s="46" t="s">
        <v>357</v>
      </c>
      <c r="E33" s="66" t="str">
        <f ca="1">IFERROR(VLOOKUP(U33,Images!$A:$C,3,FALSE),"")</f>
        <v/>
      </c>
      <c r="F33" s="65"/>
      <c r="G33" s="46" t="s">
        <v>358</v>
      </c>
      <c r="H33" s="64" t="str">
        <f>IFERROR(VLOOKUP(X33,Images!$A:$C,3,FALSE),X33)</f>
        <v>2 Rare Equipment</v>
      </c>
      <c r="I33" s="65"/>
      <c r="J33" s="43"/>
      <c r="K33" s="43"/>
      <c r="L33" s="43"/>
      <c r="M33" s="43"/>
      <c r="N33" s="43"/>
      <c r="O33" s="43"/>
      <c r="P33" s="43"/>
      <c r="Q33" s="43"/>
      <c r="R33" s="84" t="s">
        <v>1</v>
      </c>
      <c r="S33" s="65"/>
      <c r="T33" s="46" t="s">
        <v>357</v>
      </c>
      <c r="U33" s="84" t="s">
        <v>4</v>
      </c>
      <c r="V33" s="65"/>
      <c r="W33" s="46" t="s">
        <v>358</v>
      </c>
      <c r="X33" s="82" t="s">
        <v>26</v>
      </c>
      <c r="Y33" s="65"/>
      <c r="Z33" s="43"/>
    </row>
    <row r="34" spans="1:26" ht="37.5" customHeight="1">
      <c r="A34" s="43"/>
      <c r="B34" s="66" t="str">
        <f ca="1">IFERROR(VLOOKUP(R34,Images!$A:$C,3,FALSE),R34)</f>
        <v>Sand</v>
      </c>
      <c r="C34" s="65"/>
      <c r="D34" s="46" t="s">
        <v>357</v>
      </c>
      <c r="E34" s="66" t="str">
        <f ca="1">IFERROR(VLOOKUP(U34,Images!$A:$C,3,FALSE),"")</f>
        <v/>
      </c>
      <c r="F34" s="65"/>
      <c r="G34" s="46" t="s">
        <v>358</v>
      </c>
      <c r="H34" s="64" t="str">
        <f>IFERROR(VLOOKUP(X34,Images!$A:$C,3,FALSE),X34)</f>
        <v>4 Pet Eggs</v>
      </c>
      <c r="I34" s="65"/>
      <c r="J34" s="43"/>
      <c r="K34" s="43"/>
      <c r="L34" s="43"/>
      <c r="M34" s="43"/>
      <c r="N34" s="43"/>
      <c r="O34" s="43"/>
      <c r="P34" s="43"/>
      <c r="Q34" s="43"/>
      <c r="R34" s="84" t="s">
        <v>1</v>
      </c>
      <c r="S34" s="65"/>
      <c r="T34" s="46" t="s">
        <v>357</v>
      </c>
      <c r="U34" s="84" t="s">
        <v>5</v>
      </c>
      <c r="V34" s="65"/>
      <c r="W34" s="46" t="s">
        <v>358</v>
      </c>
      <c r="X34" s="82" t="s">
        <v>391</v>
      </c>
      <c r="Y34" s="65"/>
      <c r="Z34" s="43"/>
    </row>
    <row r="35" spans="1:26" ht="37.5" customHeight="1">
      <c r="A35" s="43"/>
      <c r="B35" s="66" t="str">
        <f ca="1">IFERROR(VLOOKUP(R35,Images!$A:$C,3,FALSE),R35)</f>
        <v>Sand</v>
      </c>
      <c r="C35" s="65"/>
      <c r="D35" s="46" t="s">
        <v>357</v>
      </c>
      <c r="E35" s="66" t="str">
        <f ca="1">IFERROR(VLOOKUP(U35,Images!$A:$C,3,FALSE),"")</f>
        <v/>
      </c>
      <c r="F35" s="65"/>
      <c r="G35" s="46" t="s">
        <v>358</v>
      </c>
      <c r="H35" s="64" t="str">
        <f>IFERROR(VLOOKUP(X35,Images!$A:$C,3,FALSE),X35)</f>
        <v>4 Shards</v>
      </c>
      <c r="I35" s="65"/>
      <c r="J35" s="43"/>
      <c r="K35" s="43"/>
      <c r="L35" s="43"/>
      <c r="M35" s="43"/>
      <c r="N35" s="43"/>
      <c r="O35" s="43"/>
      <c r="P35" s="43"/>
      <c r="Q35" s="43"/>
      <c r="R35" s="84" t="s">
        <v>1</v>
      </c>
      <c r="S35" s="65"/>
      <c r="T35" s="46" t="s">
        <v>357</v>
      </c>
      <c r="U35" s="84" t="s">
        <v>6</v>
      </c>
      <c r="V35" s="65"/>
      <c r="W35" s="46" t="s">
        <v>358</v>
      </c>
      <c r="X35" s="82" t="s">
        <v>392</v>
      </c>
      <c r="Y35" s="65"/>
      <c r="Z35" s="43"/>
    </row>
    <row r="36" spans="1:26" ht="37.5" customHeight="1">
      <c r="A36" s="43"/>
      <c r="B36" s="66" t="str">
        <f ca="1">IFERROR(VLOOKUP(R36,Images!$A:$C,3,FALSE),R36)</f>
        <v>Sand</v>
      </c>
      <c r="C36" s="65"/>
      <c r="D36" s="46" t="s">
        <v>357</v>
      </c>
      <c r="E36" s="66" t="str">
        <f ca="1">IFERROR(VLOOKUP(U36,Images!$A:$C,3,FALSE),"")</f>
        <v/>
      </c>
      <c r="F36" s="65"/>
      <c r="G36" s="46" t="s">
        <v>358</v>
      </c>
      <c r="H36" s="64" t="str">
        <f>IFERROR(VLOOKUP(X36,Images!$A:$C,3,FALSE),X36)</f>
        <v>43 Currency</v>
      </c>
      <c r="I36" s="65"/>
      <c r="J36" s="43"/>
      <c r="K36" s="43"/>
      <c r="L36" s="43"/>
      <c r="M36" s="43"/>
      <c r="N36" s="43"/>
      <c r="O36" s="43"/>
      <c r="P36" s="43"/>
      <c r="Q36" s="43"/>
      <c r="R36" s="84" t="s">
        <v>1</v>
      </c>
      <c r="S36" s="65"/>
      <c r="T36" s="46" t="s">
        <v>357</v>
      </c>
      <c r="U36" s="84" t="s">
        <v>7</v>
      </c>
      <c r="V36" s="65"/>
      <c r="W36" s="46" t="s">
        <v>358</v>
      </c>
      <c r="X36" s="82" t="s">
        <v>393</v>
      </c>
      <c r="Y36" s="65"/>
      <c r="Z36" s="43"/>
    </row>
    <row r="37" spans="1:26" ht="37.5" customHeight="1">
      <c r="A37" s="43"/>
      <c r="B37" s="66" t="str">
        <f ca="1">IFERROR(VLOOKUP(R37,Images!$A:$C,3,FALSE),R37)</f>
        <v>Sand</v>
      </c>
      <c r="C37" s="65"/>
      <c r="D37" s="46" t="s">
        <v>357</v>
      </c>
      <c r="E37" s="66" t="str">
        <f ca="1">IFERROR(VLOOKUP(U37,Images!$A:$C,3,FALSE),"")</f>
        <v/>
      </c>
      <c r="F37" s="65"/>
      <c r="G37" s="46" t="s">
        <v>358</v>
      </c>
      <c r="H37" s="64" t="str">
        <f>IFERROR(VLOOKUP(X37,Images!$A:$C,3,FALSE),X37)</f>
        <v>49 Currency</v>
      </c>
      <c r="I37" s="65"/>
      <c r="J37" s="43"/>
      <c r="K37" s="43"/>
      <c r="L37" s="43"/>
      <c r="M37" s="43"/>
      <c r="N37" s="43"/>
      <c r="O37" s="43"/>
      <c r="P37" s="43"/>
      <c r="Q37" s="43"/>
      <c r="R37" s="84" t="s">
        <v>1</v>
      </c>
      <c r="S37" s="65"/>
      <c r="T37" s="46" t="s">
        <v>357</v>
      </c>
      <c r="U37" s="84" t="s">
        <v>8</v>
      </c>
      <c r="V37" s="65"/>
      <c r="W37" s="46" t="s">
        <v>358</v>
      </c>
      <c r="X37" s="82" t="s">
        <v>170</v>
      </c>
      <c r="Y37" s="65"/>
      <c r="Z37" s="43"/>
    </row>
    <row r="38" spans="1:26" ht="37.5" customHeight="1">
      <c r="A38" s="43"/>
      <c r="B38" s="66" t="str">
        <f ca="1">IFERROR(VLOOKUP(R38,Images!$A:$C,3,FALSE),R38)</f>
        <v>Sand</v>
      </c>
      <c r="C38" s="65"/>
      <c r="D38" s="46" t="s">
        <v>357</v>
      </c>
      <c r="E38" s="66" t="str">
        <f ca="1">IFERROR(VLOOKUP(U38,Images!$A:$C,3,FALSE),"")</f>
        <v/>
      </c>
      <c r="F38" s="65"/>
      <c r="G38" s="46" t="s">
        <v>358</v>
      </c>
      <c r="H38" s="64" t="str">
        <f>IFERROR(VLOOKUP(X38,Images!$A:$C,3,FALSE),X38)</f>
        <v>82 Currency</v>
      </c>
      <c r="I38" s="65"/>
      <c r="J38" s="43"/>
      <c r="K38" s="43"/>
      <c r="L38" s="43"/>
      <c r="M38" s="43"/>
      <c r="N38" s="43"/>
      <c r="O38" s="43"/>
      <c r="P38" s="43"/>
      <c r="Q38" s="43"/>
      <c r="R38" s="84" t="s">
        <v>1</v>
      </c>
      <c r="S38" s="65"/>
      <c r="T38" s="46" t="s">
        <v>357</v>
      </c>
      <c r="U38" s="84" t="s">
        <v>9</v>
      </c>
      <c r="V38" s="65"/>
      <c r="W38" s="46" t="s">
        <v>358</v>
      </c>
      <c r="X38" s="82" t="s">
        <v>394</v>
      </c>
      <c r="Y38" s="65"/>
      <c r="Z38" s="43"/>
    </row>
    <row r="39" spans="1:26" ht="37.5" customHeight="1">
      <c r="A39" s="43"/>
      <c r="B39" s="66" t="str">
        <f ca="1">IFERROR(VLOOKUP(R39,Images!$A:$C,3,FALSE),R39)</f>
        <v>Sand</v>
      </c>
      <c r="C39" s="65"/>
      <c r="D39" s="46" t="s">
        <v>357</v>
      </c>
      <c r="E39" s="66" t="str">
        <f ca="1">IFERROR(VLOOKUP(U39,Images!$A:$C,3,FALSE),"")</f>
        <v/>
      </c>
      <c r="F39" s="65"/>
      <c r="G39" s="46" t="s">
        <v>358</v>
      </c>
      <c r="H39" s="64">
        <f>IFERROR(VLOOKUP(X39,Images!$A:$C,3,FALSE),X39)</f>
        <v>0</v>
      </c>
      <c r="I39" s="65"/>
      <c r="J39" s="43"/>
      <c r="K39" s="43"/>
      <c r="L39" s="43"/>
      <c r="M39" s="43"/>
      <c r="N39" s="43"/>
      <c r="O39" s="43"/>
      <c r="P39" s="43"/>
      <c r="Q39" s="43"/>
      <c r="R39" s="84" t="s">
        <v>1</v>
      </c>
      <c r="S39" s="65"/>
      <c r="T39" s="46" t="s">
        <v>357</v>
      </c>
      <c r="U39" s="84" t="s">
        <v>10</v>
      </c>
      <c r="V39" s="65"/>
      <c r="W39" s="46" t="s">
        <v>358</v>
      </c>
      <c r="X39" s="82"/>
      <c r="Y39" s="65"/>
      <c r="Z39" s="43"/>
    </row>
    <row r="40" spans="1:26" ht="37.5" customHeight="1">
      <c r="A40" s="43"/>
      <c r="B40" s="66" t="str">
        <f ca="1">IFERROR(VLOOKUP(R40,Images!$A:$C,3,FALSE),R40)</f>
        <v>Sand</v>
      </c>
      <c r="C40" s="65"/>
      <c r="D40" s="46" t="s">
        <v>357</v>
      </c>
      <c r="E40" s="66" t="str">
        <f ca="1">IFERROR(VLOOKUP(U40,Images!$A:$C,3,FALSE),"")</f>
        <v/>
      </c>
      <c r="F40" s="65"/>
      <c r="G40" s="46" t="s">
        <v>358</v>
      </c>
      <c r="H40" s="64" t="str">
        <f>IFERROR(VLOOKUP(X40,Images!$A:$C,3,FALSE),X40)</f>
        <v>2 Hero Weapons</v>
      </c>
      <c r="I40" s="65"/>
      <c r="J40" s="43"/>
      <c r="K40" s="43"/>
      <c r="L40" s="43"/>
      <c r="M40" s="43"/>
      <c r="N40" s="43"/>
      <c r="O40" s="43"/>
      <c r="P40" s="43"/>
      <c r="Q40" s="43"/>
      <c r="R40" s="84" t="s">
        <v>1</v>
      </c>
      <c r="S40" s="65"/>
      <c r="T40" s="46" t="s">
        <v>357</v>
      </c>
      <c r="U40" s="84" t="s">
        <v>11</v>
      </c>
      <c r="V40" s="65"/>
      <c r="W40" s="46" t="s">
        <v>358</v>
      </c>
      <c r="X40" s="82" t="s">
        <v>35</v>
      </c>
      <c r="Y40" s="65"/>
      <c r="Z40" s="43"/>
    </row>
    <row r="41" spans="1:26" ht="37.5" customHeight="1">
      <c r="A41" s="43"/>
      <c r="B41" s="66" t="str">
        <f ca="1">IFERROR(VLOOKUP(R41,Images!$A:$C,3,FALSE),R41)</f>
        <v>Sand</v>
      </c>
      <c r="C41" s="65"/>
      <c r="D41" s="46" t="s">
        <v>357</v>
      </c>
      <c r="E41" s="66" t="str">
        <f ca="1">IFERROR(VLOOKUP(U41,Images!$A:$C,3,FALSE),"")</f>
        <v/>
      </c>
      <c r="F41" s="65"/>
      <c r="G41" s="46" t="s">
        <v>358</v>
      </c>
      <c r="H41" s="64" t="str">
        <f>IFERROR(VLOOKUP(X41,Images!$A:$C,3,FALSE),X41)</f>
        <v>47 Wildcards</v>
      </c>
      <c r="I41" s="65"/>
      <c r="J41" s="43"/>
      <c r="K41" s="43"/>
      <c r="L41" s="43"/>
      <c r="M41" s="43"/>
      <c r="N41" s="43"/>
      <c r="O41" s="43"/>
      <c r="P41" s="43"/>
      <c r="Q41" s="43"/>
      <c r="R41" s="84" t="s">
        <v>1</v>
      </c>
      <c r="S41" s="65"/>
      <c r="T41" s="46" t="s">
        <v>357</v>
      </c>
      <c r="U41" s="84" t="s">
        <v>12</v>
      </c>
      <c r="V41" s="65"/>
      <c r="W41" s="46" t="s">
        <v>358</v>
      </c>
      <c r="X41" s="82" t="s">
        <v>390</v>
      </c>
      <c r="Y41" s="65"/>
      <c r="Z41" s="43"/>
    </row>
    <row r="42" spans="1:26" ht="37.5" customHeight="1">
      <c r="A42" s="43"/>
      <c r="B42" s="66" t="str">
        <f ca="1">IFERROR(VLOOKUP(R42,Images!$A:$C,3,FALSE),R42)</f>
        <v>Sand</v>
      </c>
      <c r="C42" s="65"/>
      <c r="D42" s="46" t="s">
        <v>357</v>
      </c>
      <c r="E42" s="66" t="str">
        <f ca="1">IFERROR(VLOOKUP(U42,Images!$A:$C,3,FALSE),"")</f>
        <v/>
      </c>
      <c r="F42" s="65"/>
      <c r="G42" s="46" t="s">
        <v>358</v>
      </c>
      <c r="H42" s="64" t="str">
        <f>IFERROR(VLOOKUP(X42,Images!$A:$C,3,FALSE),X42)</f>
        <v>10 Rare Equipment</v>
      </c>
      <c r="I42" s="65"/>
      <c r="J42" s="43"/>
      <c r="K42" s="43"/>
      <c r="L42" s="43"/>
      <c r="M42" s="43"/>
      <c r="N42" s="43"/>
      <c r="O42" s="43"/>
      <c r="P42" s="43"/>
      <c r="Q42" s="43"/>
      <c r="R42" s="84" t="s">
        <v>1</v>
      </c>
      <c r="S42" s="65"/>
      <c r="T42" s="46" t="s">
        <v>357</v>
      </c>
      <c r="U42" s="84" t="s">
        <v>13</v>
      </c>
      <c r="V42" s="65"/>
      <c r="W42" s="46" t="s">
        <v>358</v>
      </c>
      <c r="X42" s="82" t="s">
        <v>359</v>
      </c>
      <c r="Y42" s="65"/>
      <c r="Z42" s="43"/>
    </row>
    <row r="43" spans="1:26" ht="37.5" customHeight="1">
      <c r="A43" s="43"/>
      <c r="B43" s="43"/>
      <c r="C43" s="43"/>
      <c r="D43" s="43"/>
      <c r="E43" s="43"/>
      <c r="F43" s="43"/>
      <c r="G43" s="43"/>
      <c r="H43" s="67" t="str">
        <f>HYPERLINK("https://docs.google.com/spreadsheets/d/1o95Ipwx6NIyFV3LCz9LGNbH9_WELHF-pbpkM31YwXyY/edit#gid=0&amp;range=A1","Back to Top")</f>
        <v>Back to Top</v>
      </c>
      <c r="I43" s="65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83" t="s">
        <v>440</v>
      </c>
      <c r="Y43" s="65"/>
      <c r="Z43" s="43"/>
    </row>
    <row r="44" spans="1:26" ht="37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37.5" customHeight="1">
      <c r="A45" s="43"/>
      <c r="B45" s="68" t="str">
        <f>R45</f>
        <v>Water Recipes</v>
      </c>
      <c r="C45" s="69"/>
      <c r="D45" s="69"/>
      <c r="E45" s="69"/>
      <c r="F45" s="69"/>
      <c r="G45" s="69"/>
      <c r="H45" s="69"/>
      <c r="I45" s="65"/>
      <c r="J45" s="43"/>
      <c r="K45" s="43"/>
      <c r="L45" s="43"/>
      <c r="M45" s="43"/>
      <c r="N45" s="43"/>
      <c r="O45" s="43"/>
      <c r="P45" s="43"/>
      <c r="Q45" s="43"/>
      <c r="R45" s="85" t="s">
        <v>442</v>
      </c>
      <c r="S45" s="69"/>
      <c r="T45" s="69"/>
      <c r="U45" s="69"/>
      <c r="V45" s="69"/>
      <c r="W45" s="69"/>
      <c r="X45" s="69"/>
      <c r="Y45" s="65"/>
      <c r="Z45" s="43"/>
    </row>
    <row r="46" spans="1:26" ht="37.5" customHeight="1">
      <c r="A46" s="43"/>
      <c r="B46" s="66" t="str">
        <f ca="1">IFERROR(VLOOKUP(R46,Images!$A:$C,3,FALSE),R46)</f>
        <v>Water</v>
      </c>
      <c r="C46" s="65"/>
      <c r="D46" s="46" t="s">
        <v>357</v>
      </c>
      <c r="E46" s="66" t="str">
        <f ca="1">IFERROR(VLOOKUP(U46,Images!$A:$C,3,FALSE),"")</f>
        <v/>
      </c>
      <c r="F46" s="65"/>
      <c r="G46" s="46" t="s">
        <v>358</v>
      </c>
      <c r="H46" s="64">
        <f>IFERROR(VLOOKUP(X46,Images!$A:$C,3,FALSE),X46)</f>
        <v>0</v>
      </c>
      <c r="I46" s="65"/>
      <c r="J46" s="43"/>
      <c r="K46" s="43"/>
      <c r="L46" s="43"/>
      <c r="M46" s="43"/>
      <c r="N46" s="43"/>
      <c r="O46" s="43"/>
      <c r="P46" s="43"/>
      <c r="Q46" s="43"/>
      <c r="R46" s="84" t="s">
        <v>2</v>
      </c>
      <c r="S46" s="65"/>
      <c r="T46" s="46" t="s">
        <v>357</v>
      </c>
      <c r="U46" s="84" t="s">
        <v>0</v>
      </c>
      <c r="V46" s="65"/>
      <c r="W46" s="46" t="s">
        <v>358</v>
      </c>
      <c r="X46" s="82"/>
      <c r="Y46" s="65"/>
      <c r="Z46" s="43"/>
    </row>
    <row r="47" spans="1:26" ht="37.5" customHeight="1">
      <c r="A47" s="43"/>
      <c r="B47" s="66" t="str">
        <f ca="1">IFERROR(VLOOKUP(R47,Images!$A:$C,3,FALSE),R47)</f>
        <v>Water</v>
      </c>
      <c r="C47" s="65"/>
      <c r="D47" s="46" t="s">
        <v>357</v>
      </c>
      <c r="E47" s="66" t="str">
        <f ca="1">IFERROR(VLOOKUP(U47,Images!$A:$C,3,FALSE),"")</f>
        <v/>
      </c>
      <c r="F47" s="65"/>
      <c r="G47" s="46" t="s">
        <v>358</v>
      </c>
      <c r="H47" s="64" t="str">
        <f>IFERROR(VLOOKUP(X47,Images!$A:$C,3,FALSE),X47)</f>
        <v>15 Common Equipment</v>
      </c>
      <c r="I47" s="65"/>
      <c r="J47" s="43"/>
      <c r="K47" s="43"/>
      <c r="L47" s="43"/>
      <c r="M47" s="43"/>
      <c r="N47" s="43"/>
      <c r="O47" s="43"/>
      <c r="P47" s="43"/>
      <c r="Q47" s="43"/>
      <c r="R47" s="84" t="s">
        <v>2</v>
      </c>
      <c r="S47" s="65"/>
      <c r="T47" s="46" t="s">
        <v>357</v>
      </c>
      <c r="U47" s="84" t="s">
        <v>1</v>
      </c>
      <c r="V47" s="65"/>
      <c r="W47" s="46" t="s">
        <v>358</v>
      </c>
      <c r="X47" s="82" t="s">
        <v>32</v>
      </c>
      <c r="Y47" s="65"/>
      <c r="Z47" s="43"/>
    </row>
    <row r="48" spans="1:26" ht="37.5" customHeight="1">
      <c r="A48" s="43"/>
      <c r="B48" s="66" t="str">
        <f ca="1">IFERROR(VLOOKUP(R48,Images!$A:$C,3,FALSE),R48)</f>
        <v>Water</v>
      </c>
      <c r="C48" s="65"/>
      <c r="D48" s="46" t="s">
        <v>357</v>
      </c>
      <c r="E48" s="66" t="str">
        <f ca="1">IFERROR(VLOOKUP(U48,Images!$A:$C,3,FALSE),"")</f>
        <v/>
      </c>
      <c r="F48" s="65"/>
      <c r="G48" s="46" t="s">
        <v>358</v>
      </c>
      <c r="H48" s="64" t="s">
        <v>56</v>
      </c>
      <c r="I48" s="65"/>
      <c r="J48" s="43"/>
      <c r="K48" s="43"/>
      <c r="L48" s="43"/>
      <c r="M48" s="43"/>
      <c r="N48" s="43"/>
      <c r="O48" s="43"/>
      <c r="P48" s="43"/>
      <c r="Q48" s="43"/>
      <c r="R48" s="84" t="s">
        <v>2</v>
      </c>
      <c r="S48" s="65"/>
      <c r="T48" s="46" t="s">
        <v>357</v>
      </c>
      <c r="U48" s="84" t="s">
        <v>2</v>
      </c>
      <c r="V48" s="65"/>
      <c r="W48" s="46" t="s">
        <v>358</v>
      </c>
      <c r="X48" s="82" t="s">
        <v>56</v>
      </c>
      <c r="Y48" s="65"/>
      <c r="Z48" s="43"/>
    </row>
    <row r="49" spans="1:26" ht="37.5" customHeight="1">
      <c r="A49" s="43"/>
      <c r="B49" s="66" t="str">
        <f ca="1">IFERROR(VLOOKUP(R49,Images!$A:$C,3,FALSE),R49)</f>
        <v>Water</v>
      </c>
      <c r="C49" s="65"/>
      <c r="D49" s="46" t="s">
        <v>357</v>
      </c>
      <c r="E49" s="66" t="str">
        <f ca="1">IFERROR(VLOOKUP(U49,Images!$A:$C,3,FALSE),"")</f>
        <v/>
      </c>
      <c r="F49" s="65"/>
      <c r="G49" s="46" t="s">
        <v>358</v>
      </c>
      <c r="H49" s="64" t="str">
        <f>IFERROR(VLOOKUP(X49,Images!$A:$C,3,FALSE),X49)</f>
        <v>Event Equipment (Mad Scientist Sword)</v>
      </c>
      <c r="I49" s="65"/>
      <c r="J49" s="43"/>
      <c r="K49" s="43"/>
      <c r="L49" s="43"/>
      <c r="M49" s="43"/>
      <c r="N49" s="43"/>
      <c r="O49" s="43"/>
      <c r="P49" s="43"/>
      <c r="Q49" s="43"/>
      <c r="R49" s="84" t="s">
        <v>2</v>
      </c>
      <c r="S49" s="65"/>
      <c r="T49" s="46" t="s">
        <v>357</v>
      </c>
      <c r="U49" s="84" t="s">
        <v>3</v>
      </c>
      <c r="V49" s="65"/>
      <c r="W49" s="46" t="s">
        <v>358</v>
      </c>
      <c r="X49" s="82" t="s">
        <v>395</v>
      </c>
      <c r="Y49" s="65"/>
      <c r="Z49" s="43"/>
    </row>
    <row r="50" spans="1:26" ht="37.5" customHeight="1">
      <c r="A50" s="43"/>
      <c r="B50" s="66" t="str">
        <f ca="1">IFERROR(VLOOKUP(R50,Images!$A:$C,3,FALSE),R50)</f>
        <v>Water</v>
      </c>
      <c r="C50" s="65"/>
      <c r="D50" s="46" t="s">
        <v>357</v>
      </c>
      <c r="E50" s="66" t="str">
        <f ca="1">IFERROR(VLOOKUP(U50,Images!$A:$C,3,FALSE),"")</f>
        <v/>
      </c>
      <c r="F50" s="65"/>
      <c r="G50" s="46" t="s">
        <v>358</v>
      </c>
      <c r="H50" s="64" t="str">
        <f>IFERROR(VLOOKUP(X50,Images!$A:$C,3,FALSE),X50)</f>
        <v>19 Raid cards</v>
      </c>
      <c r="I50" s="65"/>
      <c r="J50" s="43"/>
      <c r="K50" s="43"/>
      <c r="L50" s="43"/>
      <c r="M50" s="43"/>
      <c r="N50" s="43"/>
      <c r="O50" s="43"/>
      <c r="P50" s="43"/>
      <c r="Q50" s="43"/>
      <c r="R50" s="84" t="s">
        <v>2</v>
      </c>
      <c r="S50" s="65"/>
      <c r="T50" s="46" t="s">
        <v>357</v>
      </c>
      <c r="U50" s="84" t="s">
        <v>4</v>
      </c>
      <c r="V50" s="65"/>
      <c r="W50" s="46" t="s">
        <v>358</v>
      </c>
      <c r="X50" s="82" t="s">
        <v>396</v>
      </c>
      <c r="Y50" s="65"/>
      <c r="Z50" s="43"/>
    </row>
    <row r="51" spans="1:26" ht="37.5" customHeight="1">
      <c r="A51" s="43"/>
      <c r="B51" s="66" t="str">
        <f ca="1">IFERROR(VLOOKUP(R51,Images!$A:$C,3,FALSE),R51)</f>
        <v>Water</v>
      </c>
      <c r="C51" s="65"/>
      <c r="D51" s="46" t="s">
        <v>357</v>
      </c>
      <c r="E51" s="66" t="str">
        <f ca="1">IFERROR(VLOOKUP(U51,Images!$A:$C,3,FALSE),"")</f>
        <v/>
      </c>
      <c r="F51" s="65"/>
      <c r="G51" s="46" t="s">
        <v>358</v>
      </c>
      <c r="H51" s="64">
        <f>IFERROR(VLOOKUP(X51,Images!$A:$C,3,FALSE),X51)</f>
        <v>0</v>
      </c>
      <c r="I51" s="65"/>
      <c r="J51" s="43"/>
      <c r="K51" s="43"/>
      <c r="L51" s="43"/>
      <c r="M51" s="43"/>
      <c r="N51" s="43"/>
      <c r="O51" s="43"/>
      <c r="P51" s="43"/>
      <c r="Q51" s="43"/>
      <c r="R51" s="84" t="s">
        <v>2</v>
      </c>
      <c r="S51" s="65"/>
      <c r="T51" s="46" t="s">
        <v>357</v>
      </c>
      <c r="U51" s="84" t="s">
        <v>5</v>
      </c>
      <c r="V51" s="65"/>
      <c r="W51" s="46" t="s">
        <v>358</v>
      </c>
      <c r="X51" s="82"/>
      <c r="Y51" s="65"/>
      <c r="Z51" s="43"/>
    </row>
    <row r="52" spans="1:26" ht="37.5" customHeight="1">
      <c r="A52" s="43"/>
      <c r="B52" s="66" t="str">
        <f ca="1">IFERROR(VLOOKUP(R52,Images!$A:$C,3,FALSE),R52)</f>
        <v>Water</v>
      </c>
      <c r="C52" s="65"/>
      <c r="D52" s="46" t="s">
        <v>357</v>
      </c>
      <c r="E52" s="66" t="str">
        <f ca="1">IFERROR(VLOOKUP(U52,Images!$A:$C,3,FALSE),"")</f>
        <v/>
      </c>
      <c r="F52" s="65"/>
      <c r="G52" s="46" t="s">
        <v>358</v>
      </c>
      <c r="H52" s="64" t="str">
        <f>IFERROR(VLOOKUP(X52,Images!$A:$C,3,FALSE),X52)</f>
        <v>3 Perks</v>
      </c>
      <c r="I52" s="65"/>
      <c r="J52" s="43"/>
      <c r="K52" s="43"/>
      <c r="L52" s="43"/>
      <c r="M52" s="43"/>
      <c r="N52" s="43"/>
      <c r="O52" s="43"/>
      <c r="P52" s="43"/>
      <c r="Q52" s="43"/>
      <c r="R52" s="84" t="s">
        <v>2</v>
      </c>
      <c r="S52" s="65"/>
      <c r="T52" s="46" t="s">
        <v>357</v>
      </c>
      <c r="U52" s="84" t="s">
        <v>6</v>
      </c>
      <c r="V52" s="65"/>
      <c r="W52" s="46" t="s">
        <v>358</v>
      </c>
      <c r="X52" s="82" t="s">
        <v>62</v>
      </c>
      <c r="Y52" s="65"/>
      <c r="Z52" s="43"/>
    </row>
    <row r="53" spans="1:26" ht="37.5" customHeight="1">
      <c r="A53" s="43"/>
      <c r="B53" s="66" t="str">
        <f ca="1">IFERROR(VLOOKUP(R53,Images!$A:$C,3,FALSE),R53)</f>
        <v>Water</v>
      </c>
      <c r="C53" s="65"/>
      <c r="D53" s="46" t="s">
        <v>357</v>
      </c>
      <c r="E53" s="66" t="str">
        <f ca="1">IFERROR(VLOOKUP(U53,Images!$A:$C,3,FALSE),"")</f>
        <v/>
      </c>
      <c r="F53" s="65"/>
      <c r="G53" s="46" t="s">
        <v>358</v>
      </c>
      <c r="H53" s="64" t="str">
        <f>IFERROR(VLOOKUP(X53,Images!$A:$C,3,FALSE),X53)</f>
        <v>5 Perks</v>
      </c>
      <c r="I53" s="65"/>
      <c r="J53" s="43"/>
      <c r="K53" s="43"/>
      <c r="L53" s="43"/>
      <c r="M53" s="43"/>
      <c r="N53" s="43"/>
      <c r="O53" s="43"/>
      <c r="P53" s="43"/>
      <c r="Q53" s="43"/>
      <c r="R53" s="84" t="s">
        <v>2</v>
      </c>
      <c r="S53" s="65"/>
      <c r="T53" s="46" t="s">
        <v>357</v>
      </c>
      <c r="U53" s="84" t="s">
        <v>7</v>
      </c>
      <c r="V53" s="65"/>
      <c r="W53" s="46" t="s">
        <v>358</v>
      </c>
      <c r="X53" s="82" t="s">
        <v>264</v>
      </c>
      <c r="Y53" s="65"/>
      <c r="Z53" s="43"/>
    </row>
    <row r="54" spans="1:26" ht="37.5" customHeight="1">
      <c r="A54" s="43"/>
      <c r="B54" s="66" t="str">
        <f ca="1">IFERROR(VLOOKUP(R54,Images!$A:$C,3,FALSE),R54)</f>
        <v>Water</v>
      </c>
      <c r="C54" s="65"/>
      <c r="D54" s="46" t="s">
        <v>357</v>
      </c>
      <c r="E54" s="66" t="str">
        <f ca="1">IFERROR(VLOOKUP(U54,Images!$A:$C,3,FALSE),"")</f>
        <v/>
      </c>
      <c r="F54" s="65"/>
      <c r="G54" s="46" t="s">
        <v>358</v>
      </c>
      <c r="H54" s="64" t="str">
        <f>IFERROR(VLOOKUP(X54,Images!$A:$C,3,FALSE),X54)</f>
        <v>54 Currency</v>
      </c>
      <c r="I54" s="65"/>
      <c r="J54" s="43"/>
      <c r="K54" s="43"/>
      <c r="L54" s="43"/>
      <c r="M54" s="43"/>
      <c r="N54" s="43"/>
      <c r="O54" s="43"/>
      <c r="P54" s="43"/>
      <c r="Q54" s="43"/>
      <c r="R54" s="84" t="s">
        <v>2</v>
      </c>
      <c r="S54" s="65"/>
      <c r="T54" s="46" t="s">
        <v>357</v>
      </c>
      <c r="U54" s="84" t="s">
        <v>8</v>
      </c>
      <c r="V54" s="65"/>
      <c r="W54" s="46" t="s">
        <v>358</v>
      </c>
      <c r="X54" s="82" t="s">
        <v>397</v>
      </c>
      <c r="Y54" s="65"/>
      <c r="Z54" s="43"/>
    </row>
    <row r="55" spans="1:26" ht="37.5" customHeight="1">
      <c r="A55" s="43"/>
      <c r="B55" s="66" t="str">
        <f ca="1">IFERROR(VLOOKUP(R55,Images!$A:$C,3,FALSE),R55)</f>
        <v>Water</v>
      </c>
      <c r="C55" s="65"/>
      <c r="D55" s="46" t="s">
        <v>357</v>
      </c>
      <c r="E55" s="66" t="str">
        <f ca="1">IFERROR(VLOOKUP(U55,Images!$A:$C,3,FALSE),"")</f>
        <v/>
      </c>
      <c r="F55" s="65"/>
      <c r="G55" s="46" t="s">
        <v>358</v>
      </c>
      <c r="H55" s="64" t="str">
        <f>IFERROR(VLOOKUP(X55,Images!$A:$C,3,FALSE),X55)</f>
        <v>87 Currency</v>
      </c>
      <c r="I55" s="65"/>
      <c r="J55" s="43"/>
      <c r="K55" s="43"/>
      <c r="L55" s="43"/>
      <c r="M55" s="43"/>
      <c r="N55" s="43"/>
      <c r="O55" s="43"/>
      <c r="P55" s="43"/>
      <c r="Q55" s="43"/>
      <c r="R55" s="84" t="s">
        <v>2</v>
      </c>
      <c r="S55" s="65"/>
      <c r="T55" s="46" t="s">
        <v>357</v>
      </c>
      <c r="U55" s="84" t="s">
        <v>9</v>
      </c>
      <c r="V55" s="65"/>
      <c r="W55" s="46" t="s">
        <v>358</v>
      </c>
      <c r="X55" s="82" t="s">
        <v>398</v>
      </c>
      <c r="Y55" s="65"/>
      <c r="Z55" s="43"/>
    </row>
    <row r="56" spans="1:26" ht="37.5" customHeight="1">
      <c r="A56" s="43"/>
      <c r="B56" s="66" t="str">
        <f ca="1">IFERROR(VLOOKUP(R56,Images!$A:$C,3,FALSE),R56)</f>
        <v>Water</v>
      </c>
      <c r="C56" s="65"/>
      <c r="D56" s="46" t="s">
        <v>357</v>
      </c>
      <c r="E56" s="66" t="str">
        <f ca="1">IFERROR(VLOOKUP(U56,Images!$A:$C,3,FALSE),"")</f>
        <v/>
      </c>
      <c r="F56" s="65"/>
      <c r="G56" s="46" t="s">
        <v>358</v>
      </c>
      <c r="H56" s="64" t="str">
        <f>IFERROR(VLOOKUP(X56,Images!$A:$C,3,FALSE),X56)</f>
        <v>1 Hero Scroll</v>
      </c>
      <c r="I56" s="65"/>
      <c r="J56" s="43"/>
      <c r="K56" s="43"/>
      <c r="L56" s="43"/>
      <c r="M56" s="43"/>
      <c r="N56" s="43"/>
      <c r="O56" s="43"/>
      <c r="P56" s="43"/>
      <c r="Q56" s="43"/>
      <c r="R56" s="84" t="s">
        <v>2</v>
      </c>
      <c r="S56" s="65"/>
      <c r="T56" s="46" t="s">
        <v>357</v>
      </c>
      <c r="U56" s="84" t="s">
        <v>10</v>
      </c>
      <c r="V56" s="65"/>
      <c r="W56" s="46" t="s">
        <v>358</v>
      </c>
      <c r="X56" s="82" t="s">
        <v>253</v>
      </c>
      <c r="Y56" s="65"/>
      <c r="Z56" s="43"/>
    </row>
    <row r="57" spans="1:26" ht="37.5" customHeight="1">
      <c r="A57" s="43"/>
      <c r="B57" s="66" t="str">
        <f ca="1">IFERROR(VLOOKUP(R57,Images!$A:$C,3,FALSE),R57)</f>
        <v>Water</v>
      </c>
      <c r="C57" s="65"/>
      <c r="D57" s="46" t="s">
        <v>357</v>
      </c>
      <c r="E57" s="66" t="str">
        <f ca="1">IFERROR(VLOOKUP(U57,Images!$A:$C,3,FALSE),"")</f>
        <v/>
      </c>
      <c r="F57" s="65"/>
      <c r="G57" s="46" t="s">
        <v>358</v>
      </c>
      <c r="H57" s="64" t="str">
        <f>IFERROR(VLOOKUP(X57,Images!$A:$C,3,FALSE),X57)</f>
        <v>1 Skill Point</v>
      </c>
      <c r="I57" s="65"/>
      <c r="J57" s="43"/>
      <c r="K57" s="43"/>
      <c r="L57" s="43"/>
      <c r="M57" s="43"/>
      <c r="N57" s="43"/>
      <c r="O57" s="43"/>
      <c r="P57" s="43"/>
      <c r="Q57" s="43"/>
      <c r="R57" s="84" t="s">
        <v>2</v>
      </c>
      <c r="S57" s="65"/>
      <c r="T57" s="46" t="s">
        <v>357</v>
      </c>
      <c r="U57" s="84" t="s">
        <v>11</v>
      </c>
      <c r="V57" s="65"/>
      <c r="W57" s="46" t="s">
        <v>358</v>
      </c>
      <c r="X57" s="82" t="s">
        <v>106</v>
      </c>
      <c r="Y57" s="65"/>
      <c r="Z57" s="43"/>
    </row>
    <row r="58" spans="1:26" ht="37.5" customHeight="1">
      <c r="A58" s="43"/>
      <c r="B58" s="66" t="str">
        <f ca="1">IFERROR(VLOOKUP(R58,Images!$A:$C,3,FALSE),R58)</f>
        <v>Water</v>
      </c>
      <c r="C58" s="65"/>
      <c r="D58" s="46" t="s">
        <v>357</v>
      </c>
      <c r="E58" s="66" t="str">
        <f ca="1">IFERROR(VLOOKUP(U58,Images!$A:$C,3,FALSE),"")</f>
        <v/>
      </c>
      <c r="F58" s="65"/>
      <c r="G58" s="46" t="s">
        <v>358</v>
      </c>
      <c r="H58" s="64" t="str">
        <f>IFERROR(VLOOKUP(X58,Images!$A:$C,3,FALSE),X58)</f>
        <v>49 Wildcards</v>
      </c>
      <c r="I58" s="65"/>
      <c r="J58" s="43"/>
      <c r="K58" s="43"/>
      <c r="L58" s="43"/>
      <c r="M58" s="43"/>
      <c r="N58" s="43"/>
      <c r="O58" s="43"/>
      <c r="P58" s="43"/>
      <c r="Q58" s="43"/>
      <c r="R58" s="84" t="s">
        <v>2</v>
      </c>
      <c r="S58" s="65"/>
      <c r="T58" s="46" t="s">
        <v>357</v>
      </c>
      <c r="U58" s="84" t="s">
        <v>12</v>
      </c>
      <c r="V58" s="65"/>
      <c r="W58" s="46" t="s">
        <v>358</v>
      </c>
      <c r="X58" s="82" t="s">
        <v>399</v>
      </c>
      <c r="Y58" s="65"/>
      <c r="Z58" s="43"/>
    </row>
    <row r="59" spans="1:26" ht="37.5" customHeight="1">
      <c r="A59" s="43"/>
      <c r="B59" s="66" t="str">
        <f ca="1">IFERROR(VLOOKUP(R59,Images!$A:$C,3,FALSE),R59)</f>
        <v>Water</v>
      </c>
      <c r="C59" s="65"/>
      <c r="D59" s="46" t="s">
        <v>357</v>
      </c>
      <c r="E59" s="66" t="str">
        <f ca="1">IFERROR(VLOOKUP(U59,Images!$A:$C,3,FALSE),"")</f>
        <v/>
      </c>
      <c r="F59" s="65"/>
      <c r="G59" s="46" t="s">
        <v>358</v>
      </c>
      <c r="H59" s="64" t="str">
        <f>IFERROR(VLOOKUP(X59,Images!$A:$C,3,FALSE),X59)</f>
        <v>105 Currency</v>
      </c>
      <c r="I59" s="65"/>
      <c r="J59" s="43"/>
      <c r="K59" s="43"/>
      <c r="L59" s="43"/>
      <c r="M59" s="43"/>
      <c r="N59" s="43"/>
      <c r="O59" s="43"/>
      <c r="P59" s="43"/>
      <c r="Q59" s="43"/>
      <c r="R59" s="84" t="s">
        <v>2</v>
      </c>
      <c r="S59" s="65"/>
      <c r="T59" s="46" t="s">
        <v>357</v>
      </c>
      <c r="U59" s="84" t="s">
        <v>13</v>
      </c>
      <c r="V59" s="65"/>
      <c r="W59" s="46" t="s">
        <v>358</v>
      </c>
      <c r="X59" s="82" t="s">
        <v>400</v>
      </c>
      <c r="Y59" s="65"/>
      <c r="Z59" s="43"/>
    </row>
    <row r="60" spans="1:26" ht="37.5" customHeight="1">
      <c r="A60" s="43"/>
      <c r="B60" s="43"/>
      <c r="C60" s="43"/>
      <c r="D60" s="43"/>
      <c r="E60" s="43"/>
      <c r="F60" s="43"/>
      <c r="G60" s="43"/>
      <c r="H60" s="67" t="str">
        <f>HYPERLINK("https://docs.google.com/spreadsheets/d/1o95Ipwx6NIyFV3LCz9LGNbH9_WELHF-pbpkM31YwXyY/edit#gid=0&amp;range=A1","Back to Top")</f>
        <v>Back to Top</v>
      </c>
      <c r="I60" s="65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83" t="s">
        <v>440</v>
      </c>
      <c r="Y60" s="65"/>
      <c r="Z60" s="43"/>
    </row>
    <row r="61" spans="1:26" ht="37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37.5" customHeight="1">
      <c r="A62" s="43"/>
      <c r="B62" s="68" t="str">
        <f>R62</f>
        <v>Lightning Recipes</v>
      </c>
      <c r="C62" s="69"/>
      <c r="D62" s="69"/>
      <c r="E62" s="69"/>
      <c r="F62" s="69"/>
      <c r="G62" s="69"/>
      <c r="H62" s="69"/>
      <c r="I62" s="65"/>
      <c r="J62" s="43"/>
      <c r="K62" s="43"/>
      <c r="L62" s="43"/>
      <c r="M62" s="43"/>
      <c r="N62" s="43"/>
      <c r="O62" s="43"/>
      <c r="P62" s="43"/>
      <c r="Q62" s="43"/>
      <c r="R62" s="85" t="s">
        <v>443</v>
      </c>
      <c r="S62" s="69"/>
      <c r="T62" s="69"/>
      <c r="U62" s="69"/>
      <c r="V62" s="69"/>
      <c r="W62" s="69"/>
      <c r="X62" s="69"/>
      <c r="Y62" s="65"/>
      <c r="Z62" s="43"/>
    </row>
    <row r="63" spans="1:26" ht="37.5" customHeight="1">
      <c r="A63" s="43"/>
      <c r="B63" s="66" t="str">
        <f ca="1">IFERROR(VLOOKUP(R63,Images!$A:$C,3,FALSE),R63)</f>
        <v>Lightning</v>
      </c>
      <c r="C63" s="65"/>
      <c r="D63" s="46" t="s">
        <v>357</v>
      </c>
      <c r="E63" s="66" t="str">
        <f ca="1">IFERROR(VLOOKUP(U63,Images!$A:$C,3,FALSE),"")</f>
        <v/>
      </c>
      <c r="F63" s="65"/>
      <c r="G63" s="46" t="s">
        <v>358</v>
      </c>
      <c r="H63" s="64">
        <f>IFERROR(VLOOKUP(X63,Images!$A:$C,3,FALSE),X63)</f>
        <v>0</v>
      </c>
      <c r="I63" s="65"/>
      <c r="J63" s="43"/>
      <c r="K63" s="43"/>
      <c r="L63" s="43"/>
      <c r="M63" s="43"/>
      <c r="N63" s="43"/>
      <c r="O63" s="43"/>
      <c r="P63" s="43"/>
      <c r="Q63" s="43"/>
      <c r="R63" s="84" t="s">
        <v>3</v>
      </c>
      <c r="S63" s="65"/>
      <c r="T63" s="46" t="s">
        <v>357</v>
      </c>
      <c r="U63" s="84" t="s">
        <v>0</v>
      </c>
      <c r="V63" s="65"/>
      <c r="W63" s="46" t="s">
        <v>358</v>
      </c>
      <c r="X63" s="82"/>
      <c r="Y63" s="65"/>
      <c r="Z63" s="43"/>
    </row>
    <row r="64" spans="1:26" ht="37.5" customHeight="1">
      <c r="A64" s="43"/>
      <c r="B64" s="66" t="str">
        <f ca="1">IFERROR(VLOOKUP(R64,Images!$A:$C,3,FALSE),R64)</f>
        <v>Lightning</v>
      </c>
      <c r="C64" s="65"/>
      <c r="D64" s="46" t="s">
        <v>357</v>
      </c>
      <c r="E64" s="66" t="str">
        <f ca="1">IFERROR(VLOOKUP(U64,Images!$A:$C,3,FALSE),"")</f>
        <v/>
      </c>
      <c r="F64" s="65"/>
      <c r="G64" s="46" t="s">
        <v>358</v>
      </c>
      <c r="H64" s="64">
        <f>IFERROR(VLOOKUP(X64,Images!$A:$C,3,FALSE),X64)</f>
        <v>0</v>
      </c>
      <c r="I64" s="65"/>
      <c r="J64" s="43"/>
      <c r="K64" s="43"/>
      <c r="L64" s="43"/>
      <c r="M64" s="43"/>
      <c r="N64" s="43"/>
      <c r="O64" s="43"/>
      <c r="P64" s="43"/>
      <c r="Q64" s="43"/>
      <c r="R64" s="84" t="s">
        <v>3</v>
      </c>
      <c r="S64" s="65"/>
      <c r="T64" s="46" t="s">
        <v>357</v>
      </c>
      <c r="U64" s="84" t="s">
        <v>1</v>
      </c>
      <c r="V64" s="65"/>
      <c r="W64" s="46" t="s">
        <v>358</v>
      </c>
      <c r="X64" s="82"/>
      <c r="Y64" s="65"/>
      <c r="Z64" s="43"/>
    </row>
    <row r="65" spans="1:26" ht="37.5" customHeight="1">
      <c r="A65" s="43"/>
      <c r="B65" s="66" t="str">
        <f ca="1">IFERROR(VLOOKUP(R65,Images!$A:$C,3,FALSE),R65)</f>
        <v>Lightning</v>
      </c>
      <c r="C65" s="65"/>
      <c r="D65" s="46" t="s">
        <v>357</v>
      </c>
      <c r="E65" s="66" t="str">
        <f ca="1">IFERROR(VLOOKUP(U65,Images!$A:$C,3,FALSE),"")</f>
        <v/>
      </c>
      <c r="F65" s="65"/>
      <c r="G65" s="46" t="s">
        <v>358</v>
      </c>
      <c r="H65" s="64" t="str">
        <f>IFERROR(VLOOKUP(X65,Images!$A:$C,3,FALSE),X65)</f>
        <v>Event Equipment (Mad Scientist Sword)</v>
      </c>
      <c r="I65" s="65"/>
      <c r="J65" s="43"/>
      <c r="K65" s="43"/>
      <c r="L65" s="43"/>
      <c r="M65" s="43"/>
      <c r="N65" s="43"/>
      <c r="O65" s="43"/>
      <c r="P65" s="43"/>
      <c r="Q65" s="43"/>
      <c r="R65" s="84" t="s">
        <v>3</v>
      </c>
      <c r="S65" s="65"/>
      <c r="T65" s="46" t="s">
        <v>357</v>
      </c>
      <c r="U65" s="84" t="s">
        <v>2</v>
      </c>
      <c r="V65" s="65"/>
      <c r="W65" s="46" t="s">
        <v>358</v>
      </c>
      <c r="X65" s="82" t="s">
        <v>395</v>
      </c>
      <c r="Y65" s="65"/>
      <c r="Z65" s="43"/>
    </row>
    <row r="66" spans="1:26" ht="37.5" customHeight="1">
      <c r="A66" s="43"/>
      <c r="B66" s="66" t="str">
        <f ca="1">IFERROR(VLOOKUP(R66,Images!$A:$C,3,FALSE),R66)</f>
        <v>Lightning</v>
      </c>
      <c r="C66" s="65"/>
      <c r="D66" s="46" t="s">
        <v>357</v>
      </c>
      <c r="E66" s="66" t="str">
        <f ca="1">IFERROR(VLOOKUP(U66,Images!$A:$C,3,FALSE),"")</f>
        <v/>
      </c>
      <c r="F66" s="65"/>
      <c r="G66" s="46" t="s">
        <v>358</v>
      </c>
      <c r="H66" s="64" t="str">
        <f>IFERROR(VLOOKUP(X66,Images!$A:$C,3,FALSE),X66)</f>
        <v>32 Currency</v>
      </c>
      <c r="I66" s="65"/>
      <c r="J66" s="43"/>
      <c r="K66" s="43"/>
      <c r="L66" s="43"/>
      <c r="M66" s="43"/>
      <c r="N66" s="43"/>
      <c r="O66" s="43"/>
      <c r="P66" s="43"/>
      <c r="Q66" s="43"/>
      <c r="R66" s="84" t="s">
        <v>3</v>
      </c>
      <c r="S66" s="65"/>
      <c r="T66" s="46" t="s">
        <v>357</v>
      </c>
      <c r="U66" s="84" t="s">
        <v>3</v>
      </c>
      <c r="V66" s="65"/>
      <c r="W66" s="46" t="s">
        <v>358</v>
      </c>
      <c r="X66" s="82" t="s">
        <v>38</v>
      </c>
      <c r="Y66" s="65"/>
      <c r="Z66" s="43"/>
    </row>
    <row r="67" spans="1:26" ht="37.5" customHeight="1">
      <c r="A67" s="43"/>
      <c r="B67" s="66" t="str">
        <f ca="1">IFERROR(VLOOKUP(R67,Images!$A:$C,3,FALSE),R67)</f>
        <v>Lightning</v>
      </c>
      <c r="C67" s="65"/>
      <c r="D67" s="46" t="s">
        <v>357</v>
      </c>
      <c r="E67" s="66" t="str">
        <f ca="1">IFERROR(VLOOKUP(U67,Images!$A:$C,3,FALSE),"")</f>
        <v/>
      </c>
      <c r="F67" s="65"/>
      <c r="G67" s="46" t="s">
        <v>358</v>
      </c>
      <c r="H67" s="64">
        <f>IFERROR(VLOOKUP(X67,Images!$A:$C,3,FALSE),X67)</f>
        <v>0</v>
      </c>
      <c r="I67" s="65"/>
      <c r="J67" s="43"/>
      <c r="K67" s="43"/>
      <c r="L67" s="43"/>
      <c r="M67" s="43"/>
      <c r="N67" s="43"/>
      <c r="O67" s="43"/>
      <c r="P67" s="43"/>
      <c r="Q67" s="43"/>
      <c r="R67" s="84" t="s">
        <v>3</v>
      </c>
      <c r="S67" s="65"/>
      <c r="T67" s="46" t="s">
        <v>357</v>
      </c>
      <c r="U67" s="84" t="s">
        <v>4</v>
      </c>
      <c r="V67" s="65"/>
      <c r="W67" s="46" t="s">
        <v>358</v>
      </c>
      <c r="X67" s="82"/>
      <c r="Y67" s="65"/>
      <c r="Z67" s="43"/>
    </row>
    <row r="68" spans="1:26" ht="37.5" customHeight="1">
      <c r="A68" s="43"/>
      <c r="B68" s="66" t="str">
        <f ca="1">IFERROR(VLOOKUP(R68,Images!$A:$C,3,FALSE),R68)</f>
        <v>Lightning</v>
      </c>
      <c r="C68" s="65"/>
      <c r="D68" s="46" t="s">
        <v>357</v>
      </c>
      <c r="E68" s="66" t="str">
        <f ca="1">IFERROR(VLOOKUP(U68,Images!$A:$C,3,FALSE),"")</f>
        <v/>
      </c>
      <c r="F68" s="65"/>
      <c r="G68" s="46" t="s">
        <v>358</v>
      </c>
      <c r="H68" s="64">
        <f>IFERROR(VLOOKUP(X68,Images!$A:$C,3,FALSE),X68)</f>
        <v>0</v>
      </c>
      <c r="I68" s="65"/>
      <c r="J68" s="43"/>
      <c r="K68" s="43"/>
      <c r="L68" s="43"/>
      <c r="M68" s="43"/>
      <c r="N68" s="43"/>
      <c r="O68" s="43"/>
      <c r="P68" s="43"/>
      <c r="Q68" s="43"/>
      <c r="R68" s="84" t="s">
        <v>3</v>
      </c>
      <c r="S68" s="65"/>
      <c r="T68" s="46" t="s">
        <v>357</v>
      </c>
      <c r="U68" s="84" t="s">
        <v>5</v>
      </c>
      <c r="V68" s="65"/>
      <c r="W68" s="46" t="s">
        <v>358</v>
      </c>
      <c r="X68" s="82"/>
      <c r="Y68" s="65"/>
      <c r="Z68" s="43"/>
    </row>
    <row r="69" spans="1:26" ht="37.5" customHeight="1">
      <c r="A69" s="43"/>
      <c r="B69" s="66" t="str">
        <f ca="1">IFERROR(VLOOKUP(R69,Images!$A:$C,3,FALSE),R69)</f>
        <v>Lightning</v>
      </c>
      <c r="C69" s="65"/>
      <c r="D69" s="46" t="s">
        <v>357</v>
      </c>
      <c r="E69" s="66" t="str">
        <f ca="1">IFERROR(VLOOKUP(U69,Images!$A:$C,3,FALSE),"")</f>
        <v/>
      </c>
      <c r="F69" s="65"/>
      <c r="G69" s="46" t="s">
        <v>358</v>
      </c>
      <c r="H69" s="64" t="str">
        <f>IFERROR(VLOOKUP(X69,Images!$A:$C,3,FALSE),X69)</f>
        <v>Event Equipment
(Mask of Madness)</v>
      </c>
      <c r="I69" s="65"/>
      <c r="J69" s="43"/>
      <c r="K69" s="43"/>
      <c r="L69" s="43"/>
      <c r="M69" s="43"/>
      <c r="N69" s="43"/>
      <c r="O69" s="43"/>
      <c r="P69" s="43"/>
      <c r="Q69" s="43"/>
      <c r="R69" s="84" t="s">
        <v>3</v>
      </c>
      <c r="S69" s="65"/>
      <c r="T69" s="46" t="s">
        <v>357</v>
      </c>
      <c r="U69" s="84" t="s">
        <v>6</v>
      </c>
      <c r="V69" s="65"/>
      <c r="W69" s="46" t="s">
        <v>358</v>
      </c>
      <c r="X69" s="82" t="s">
        <v>401</v>
      </c>
      <c r="Y69" s="65"/>
      <c r="Z69" s="43"/>
    </row>
    <row r="70" spans="1:26" ht="37.5" customHeight="1">
      <c r="A70" s="43"/>
      <c r="B70" s="66" t="str">
        <f ca="1">IFERROR(VLOOKUP(R70,Images!$A:$C,3,FALSE),R70)</f>
        <v>Lightning</v>
      </c>
      <c r="C70" s="65"/>
      <c r="D70" s="46" t="s">
        <v>357</v>
      </c>
      <c r="E70" s="66" t="str">
        <f ca="1">IFERROR(VLOOKUP(U70,Images!$A:$C,3,FALSE),"")</f>
        <v/>
      </c>
      <c r="F70" s="65"/>
      <c r="G70" s="46" t="s">
        <v>358</v>
      </c>
      <c r="H70" s="64" t="str">
        <f>IFERROR(VLOOKUP(X70,Images!$A:$C,3,FALSE),X70)</f>
        <v>Event Equipment (Lab Coat)</v>
      </c>
      <c r="I70" s="65"/>
      <c r="J70" s="43"/>
      <c r="K70" s="43"/>
      <c r="L70" s="43"/>
      <c r="M70" s="43"/>
      <c r="N70" s="43"/>
      <c r="O70" s="43"/>
      <c r="P70" s="43"/>
      <c r="Q70" s="43"/>
      <c r="R70" s="84" t="s">
        <v>3</v>
      </c>
      <c r="S70" s="65"/>
      <c r="T70" s="46" t="s">
        <v>357</v>
      </c>
      <c r="U70" s="84" t="s">
        <v>7</v>
      </c>
      <c r="V70" s="65"/>
      <c r="W70" s="46" t="s">
        <v>358</v>
      </c>
      <c r="X70" s="82" t="s">
        <v>34</v>
      </c>
      <c r="Y70" s="65"/>
      <c r="Z70" s="43"/>
    </row>
    <row r="71" spans="1:26" ht="37.5" customHeight="1">
      <c r="A71" s="43"/>
      <c r="B71" s="66" t="str">
        <f ca="1">IFERROR(VLOOKUP(R71,Images!$A:$C,3,FALSE),R71)</f>
        <v>Lightning</v>
      </c>
      <c r="C71" s="65"/>
      <c r="D71" s="46" t="s">
        <v>357</v>
      </c>
      <c r="E71" s="66" t="str">
        <f ca="1">IFERROR(VLOOKUP(U71,Images!$A:$C,3,FALSE),"")</f>
        <v/>
      </c>
      <c r="F71" s="65"/>
      <c r="G71" s="46" t="s">
        <v>358</v>
      </c>
      <c r="H71" s="64" t="str">
        <f>IFERROR(VLOOKUP(X71,Images!$A:$C,3,FALSE),X71)</f>
        <v>Event Equipment
(Molecularization)</v>
      </c>
      <c r="I71" s="65"/>
      <c r="J71" s="43"/>
      <c r="K71" s="43"/>
      <c r="L71" s="43"/>
      <c r="M71" s="43"/>
      <c r="N71" s="43"/>
      <c r="O71" s="43"/>
      <c r="P71" s="43"/>
      <c r="Q71" s="43"/>
      <c r="R71" s="84" t="s">
        <v>3</v>
      </c>
      <c r="S71" s="65"/>
      <c r="T71" s="46" t="s">
        <v>357</v>
      </c>
      <c r="U71" s="84" t="s">
        <v>8</v>
      </c>
      <c r="V71" s="65"/>
      <c r="W71" s="46" t="s">
        <v>358</v>
      </c>
      <c r="X71" s="82" t="s">
        <v>402</v>
      </c>
      <c r="Y71" s="65"/>
      <c r="Z71" s="43"/>
    </row>
    <row r="72" spans="1:26" ht="37.5" customHeight="1">
      <c r="A72" s="43"/>
      <c r="B72" s="66" t="str">
        <f ca="1">IFERROR(VLOOKUP(R72,Images!$A:$C,3,FALSE),R72)</f>
        <v>Lightning</v>
      </c>
      <c r="C72" s="65"/>
      <c r="D72" s="46" t="s">
        <v>357</v>
      </c>
      <c r="E72" s="66" t="str">
        <f ca="1">IFERROR(VLOOKUP(U72,Images!$A:$C,3,FALSE),"")</f>
        <v/>
      </c>
      <c r="F72" s="65"/>
      <c r="G72" s="46" t="s">
        <v>358</v>
      </c>
      <c r="H72" s="64" t="str">
        <f>IFERROR(VLOOKUP(X72,Images!$A:$C,3,FALSE),X72)</f>
        <v>87 Currency</v>
      </c>
      <c r="I72" s="65"/>
      <c r="J72" s="43"/>
      <c r="K72" s="43"/>
      <c r="L72" s="43"/>
      <c r="M72" s="43"/>
      <c r="N72" s="43"/>
      <c r="O72" s="43"/>
      <c r="P72" s="43"/>
      <c r="Q72" s="43"/>
      <c r="R72" s="84" t="s">
        <v>3</v>
      </c>
      <c r="S72" s="65"/>
      <c r="T72" s="46" t="s">
        <v>357</v>
      </c>
      <c r="U72" s="84" t="s">
        <v>9</v>
      </c>
      <c r="V72" s="65"/>
      <c r="W72" s="46" t="s">
        <v>358</v>
      </c>
      <c r="X72" s="82" t="s">
        <v>398</v>
      </c>
      <c r="Y72" s="65"/>
      <c r="Z72" s="43"/>
    </row>
    <row r="73" spans="1:26" ht="37.5" customHeight="1">
      <c r="A73" s="43"/>
      <c r="B73" s="66" t="str">
        <f ca="1">IFERROR(VLOOKUP(R73,Images!$A:$C,3,FALSE),R73)</f>
        <v>Lightning</v>
      </c>
      <c r="C73" s="65"/>
      <c r="D73" s="46" t="s">
        <v>357</v>
      </c>
      <c r="E73" s="66" t="str">
        <f ca="1">IFERROR(VLOOKUP(U73,Images!$A:$C,3,FALSE),"")</f>
        <v/>
      </c>
      <c r="F73" s="65"/>
      <c r="G73" s="46" t="s">
        <v>358</v>
      </c>
      <c r="H73" s="64" t="str">
        <f>IFERROR(VLOOKUP(X73,Images!$A:$C,3,FALSE),X73)</f>
        <v>95 Currency</v>
      </c>
      <c r="I73" s="65"/>
      <c r="J73" s="43"/>
      <c r="K73" s="43"/>
      <c r="L73" s="43"/>
      <c r="M73" s="43"/>
      <c r="N73" s="43"/>
      <c r="O73" s="43"/>
      <c r="P73" s="43"/>
      <c r="Q73" s="43"/>
      <c r="R73" s="84" t="s">
        <v>3</v>
      </c>
      <c r="S73" s="65"/>
      <c r="T73" s="46" t="s">
        <v>357</v>
      </c>
      <c r="U73" s="84" t="s">
        <v>10</v>
      </c>
      <c r="V73" s="65"/>
      <c r="W73" s="46" t="s">
        <v>358</v>
      </c>
      <c r="X73" s="82" t="s">
        <v>403</v>
      </c>
      <c r="Y73" s="65"/>
      <c r="Z73" s="43"/>
    </row>
    <row r="74" spans="1:26" ht="37.5" customHeight="1">
      <c r="A74" s="43"/>
      <c r="B74" s="66" t="str">
        <f ca="1">IFERROR(VLOOKUP(R74,Images!$A:$C,3,FALSE),R74)</f>
        <v>Lightning</v>
      </c>
      <c r="C74" s="65"/>
      <c r="D74" s="46" t="s">
        <v>357</v>
      </c>
      <c r="E74" s="66" t="str">
        <f ca="1">IFERROR(VLOOKUP(U74,Images!$A:$C,3,FALSE),"")</f>
        <v/>
      </c>
      <c r="F74" s="65"/>
      <c r="G74" s="46" t="s">
        <v>358</v>
      </c>
      <c r="H74" s="64" t="str">
        <f>IFERROR(VLOOKUP(X74,Images!$A:$C,3,FALSE),X74)</f>
        <v>100 Currency</v>
      </c>
      <c r="I74" s="65"/>
      <c r="J74" s="43"/>
      <c r="K74" s="43"/>
      <c r="L74" s="43"/>
      <c r="M74" s="43"/>
      <c r="N74" s="43"/>
      <c r="O74" s="43"/>
      <c r="P74" s="43"/>
      <c r="Q74" s="43"/>
      <c r="R74" s="84" t="s">
        <v>3</v>
      </c>
      <c r="S74" s="65"/>
      <c r="T74" s="46" t="s">
        <v>357</v>
      </c>
      <c r="U74" s="84" t="s">
        <v>11</v>
      </c>
      <c r="V74" s="65"/>
      <c r="W74" s="46" t="s">
        <v>358</v>
      </c>
      <c r="X74" s="82" t="s">
        <v>404</v>
      </c>
      <c r="Y74" s="65"/>
      <c r="Z74" s="43"/>
    </row>
    <row r="75" spans="1:26" ht="37.5" customHeight="1">
      <c r="A75" s="43"/>
      <c r="B75" s="66" t="str">
        <f ca="1">IFERROR(VLOOKUP(R75,Images!$A:$C,3,FALSE),R75)</f>
        <v>Lightning</v>
      </c>
      <c r="C75" s="65"/>
      <c r="D75" s="46" t="s">
        <v>357</v>
      </c>
      <c r="E75" s="66" t="str">
        <f ca="1">IFERROR(VLOOKUP(U75,Images!$A:$C,3,FALSE),"")</f>
        <v/>
      </c>
      <c r="F75" s="65"/>
      <c r="G75" s="46" t="s">
        <v>358</v>
      </c>
      <c r="H75" s="64" t="str">
        <f>IFERROR(VLOOKUP(X75,Images!$A:$C,3,FALSE),X75)</f>
        <v>52 Wildcards</v>
      </c>
      <c r="I75" s="65"/>
      <c r="J75" s="43"/>
      <c r="K75" s="43"/>
      <c r="L75" s="43"/>
      <c r="M75" s="43"/>
      <c r="N75" s="43"/>
      <c r="O75" s="43"/>
      <c r="P75" s="43"/>
      <c r="Q75" s="43"/>
      <c r="R75" s="84" t="s">
        <v>3</v>
      </c>
      <c r="S75" s="65"/>
      <c r="T75" s="46" t="s">
        <v>357</v>
      </c>
      <c r="U75" s="84" t="s">
        <v>12</v>
      </c>
      <c r="V75" s="65"/>
      <c r="W75" s="46" t="s">
        <v>358</v>
      </c>
      <c r="X75" s="82" t="s">
        <v>405</v>
      </c>
      <c r="Y75" s="65"/>
      <c r="Z75" s="43"/>
    </row>
    <row r="76" spans="1:26" ht="37.5" customHeight="1">
      <c r="A76" s="43"/>
      <c r="B76" s="66" t="str">
        <f ca="1">IFERROR(VLOOKUP(R76,Images!$A:$C,3,FALSE),R76)</f>
        <v>Lightning</v>
      </c>
      <c r="C76" s="65"/>
      <c r="D76" s="46" t="s">
        <v>357</v>
      </c>
      <c r="E76" s="66" t="str">
        <f ca="1">IFERROR(VLOOKUP(U76,Images!$A:$C,3,FALSE),"")</f>
        <v/>
      </c>
      <c r="F76" s="65"/>
      <c r="G76" s="46" t="s">
        <v>358</v>
      </c>
      <c r="H76" s="64" t="str">
        <f>IFERROR(VLOOKUP(X76,Images!$A:$C,3,FALSE),X76)</f>
        <v>111 Currency</v>
      </c>
      <c r="I76" s="65"/>
      <c r="J76" s="43"/>
      <c r="K76" s="43"/>
      <c r="L76" s="43"/>
      <c r="M76" s="43"/>
      <c r="N76" s="43"/>
      <c r="O76" s="43"/>
      <c r="P76" s="43"/>
      <c r="Q76" s="43"/>
      <c r="R76" s="84" t="s">
        <v>3</v>
      </c>
      <c r="S76" s="65"/>
      <c r="T76" s="46" t="s">
        <v>357</v>
      </c>
      <c r="U76" s="84" t="s">
        <v>13</v>
      </c>
      <c r="V76" s="65"/>
      <c r="W76" s="46" t="s">
        <v>358</v>
      </c>
      <c r="X76" s="82" t="s">
        <v>302</v>
      </c>
      <c r="Y76" s="65"/>
      <c r="Z76" s="43"/>
    </row>
    <row r="77" spans="1:26" ht="37.5" customHeight="1">
      <c r="A77" s="43"/>
      <c r="B77" s="43"/>
      <c r="C77" s="43"/>
      <c r="D77" s="43"/>
      <c r="E77" s="43"/>
      <c r="F77" s="43"/>
      <c r="G77" s="43"/>
      <c r="H77" s="67" t="str">
        <f>HYPERLINK("https://docs.google.com/spreadsheets/d/1o95Ipwx6NIyFV3LCz9LGNbH9_WELHF-pbpkM31YwXyY/edit#gid=0&amp;range=A1","Back to Top")</f>
        <v>Back to Top</v>
      </c>
      <c r="I77" s="65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83" t="s">
        <v>440</v>
      </c>
      <c r="Y77" s="65"/>
      <c r="Z77" s="43"/>
    </row>
    <row r="78" spans="1:26" ht="37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37.5" customHeight="1">
      <c r="A79" s="43"/>
      <c r="B79" s="68" t="str">
        <f>R79</f>
        <v>Poison Recipes</v>
      </c>
      <c r="C79" s="69"/>
      <c r="D79" s="69"/>
      <c r="E79" s="69"/>
      <c r="F79" s="69"/>
      <c r="G79" s="69"/>
      <c r="H79" s="69"/>
      <c r="I79" s="65"/>
      <c r="J79" s="43"/>
      <c r="K79" s="43"/>
      <c r="L79" s="43"/>
      <c r="M79" s="43"/>
      <c r="N79" s="43"/>
      <c r="O79" s="43"/>
      <c r="P79" s="43"/>
      <c r="Q79" s="43"/>
      <c r="R79" s="85" t="s">
        <v>444</v>
      </c>
      <c r="S79" s="69"/>
      <c r="T79" s="69"/>
      <c r="U79" s="69"/>
      <c r="V79" s="69"/>
      <c r="W79" s="69"/>
      <c r="X79" s="69"/>
      <c r="Y79" s="65"/>
      <c r="Z79" s="43"/>
    </row>
    <row r="80" spans="1:26" ht="37.5" customHeight="1">
      <c r="A80" s="43"/>
      <c r="B80" s="66" t="str">
        <f ca="1">IFERROR(VLOOKUP(R80,Images!$A:$C,3,FALSE),R80)</f>
        <v>Poison</v>
      </c>
      <c r="C80" s="65"/>
      <c r="D80" s="46" t="s">
        <v>357</v>
      </c>
      <c r="E80" s="66" t="str">
        <f ca="1">IFERROR(VLOOKUP(U80,Images!$A:$C,3,FALSE),"")</f>
        <v/>
      </c>
      <c r="F80" s="65"/>
      <c r="G80" s="46" t="s">
        <v>358</v>
      </c>
      <c r="H80" s="64" t="str">
        <f>IFERROR(VLOOKUP(X80,Images!$A:$C,3,FALSE),X80)</f>
        <v>16 Raid Card Fragments</v>
      </c>
      <c r="I80" s="65"/>
      <c r="J80" s="43"/>
      <c r="K80" s="43"/>
      <c r="L80" s="43"/>
      <c r="M80" s="43"/>
      <c r="N80" s="43"/>
      <c r="O80" s="43"/>
      <c r="P80" s="43"/>
      <c r="Q80" s="43"/>
      <c r="R80" s="84" t="s">
        <v>4</v>
      </c>
      <c r="S80" s="65"/>
      <c r="T80" s="46" t="s">
        <v>357</v>
      </c>
      <c r="U80" s="84" t="s">
        <v>0</v>
      </c>
      <c r="V80" s="65"/>
      <c r="W80" s="46" t="s">
        <v>358</v>
      </c>
      <c r="X80" s="82" t="s">
        <v>387</v>
      </c>
      <c r="Y80" s="65"/>
      <c r="Z80" s="43"/>
    </row>
    <row r="81" spans="1:26" ht="37.5" customHeight="1">
      <c r="A81" s="43"/>
      <c r="B81" s="66" t="str">
        <f ca="1">IFERROR(VLOOKUP(R81,Images!$A:$C,3,FALSE),R81)</f>
        <v>Poison</v>
      </c>
      <c r="C81" s="65"/>
      <c r="D81" s="46" t="s">
        <v>357</v>
      </c>
      <c r="E81" s="66" t="str">
        <f ca="1">IFERROR(VLOOKUP(U81,Images!$A:$C,3,FALSE),"")</f>
        <v/>
      </c>
      <c r="F81" s="65"/>
      <c r="G81" s="46" t="s">
        <v>358</v>
      </c>
      <c r="H81" s="64" t="str">
        <f>IFERROR(VLOOKUP(X81,Images!$A:$C,3,FALSE),X81)</f>
        <v>2 Rare Equipment</v>
      </c>
      <c r="I81" s="65"/>
      <c r="J81" s="43"/>
      <c r="K81" s="43"/>
      <c r="L81" s="43"/>
      <c r="M81" s="43"/>
      <c r="N81" s="43"/>
      <c r="O81" s="43"/>
      <c r="P81" s="43"/>
      <c r="Q81" s="43"/>
      <c r="R81" s="84" t="s">
        <v>4</v>
      </c>
      <c r="S81" s="65"/>
      <c r="T81" s="46" t="s">
        <v>357</v>
      </c>
      <c r="U81" s="84" t="s">
        <v>1</v>
      </c>
      <c r="V81" s="65"/>
      <c r="W81" s="46" t="s">
        <v>358</v>
      </c>
      <c r="X81" s="82" t="s">
        <v>26</v>
      </c>
      <c r="Y81" s="65"/>
      <c r="Z81" s="43"/>
    </row>
    <row r="82" spans="1:26" ht="37.5" customHeight="1">
      <c r="A82" s="43"/>
      <c r="B82" s="66" t="str">
        <f ca="1">IFERROR(VLOOKUP(R82,Images!$A:$C,3,FALSE),R82)</f>
        <v>Poison</v>
      </c>
      <c r="C82" s="65"/>
      <c r="D82" s="46" t="s">
        <v>357</v>
      </c>
      <c r="E82" s="66" t="str">
        <f ca="1">IFERROR(VLOOKUP(U82,Images!$A:$C,3,FALSE),"")</f>
        <v/>
      </c>
      <c r="F82" s="65"/>
      <c r="G82" s="46" t="s">
        <v>358</v>
      </c>
      <c r="H82" s="64" t="str">
        <f>IFERROR(VLOOKUP(X82,Images!$A:$C,3,FALSE),X82)</f>
        <v>19 Raid Cards</v>
      </c>
      <c r="I82" s="65"/>
      <c r="J82" s="43"/>
      <c r="K82" s="43"/>
      <c r="L82" s="43"/>
      <c r="M82" s="43"/>
      <c r="N82" s="43"/>
      <c r="O82" s="43"/>
      <c r="P82" s="43"/>
      <c r="Q82" s="43"/>
      <c r="R82" s="84" t="s">
        <v>4</v>
      </c>
      <c r="S82" s="65"/>
      <c r="T82" s="46" t="s">
        <v>357</v>
      </c>
      <c r="U82" s="84" t="s">
        <v>2</v>
      </c>
      <c r="V82" s="65"/>
      <c r="W82" s="46" t="s">
        <v>358</v>
      </c>
      <c r="X82" s="82" t="s">
        <v>406</v>
      </c>
      <c r="Y82" s="65"/>
      <c r="Z82" s="43"/>
    </row>
    <row r="83" spans="1:26" ht="37.5" customHeight="1">
      <c r="A83" s="43"/>
      <c r="B83" s="66" t="str">
        <f ca="1">IFERROR(VLOOKUP(R83,Images!$A:$C,3,FALSE),R83)</f>
        <v>Poison</v>
      </c>
      <c r="C83" s="65"/>
      <c r="D83" s="46" t="s">
        <v>357</v>
      </c>
      <c r="E83" s="66" t="str">
        <f ca="1">IFERROR(VLOOKUP(U83,Images!$A:$C,3,FALSE),"")</f>
        <v/>
      </c>
      <c r="F83" s="65"/>
      <c r="G83" s="46" t="s">
        <v>358</v>
      </c>
      <c r="H83" s="64">
        <f>IFERROR(VLOOKUP(X83,Images!$A:$C,3,FALSE),X83)</f>
        <v>0</v>
      </c>
      <c r="I83" s="65"/>
      <c r="J83" s="43"/>
      <c r="K83" s="43"/>
      <c r="L83" s="43"/>
      <c r="M83" s="43"/>
      <c r="N83" s="43"/>
      <c r="O83" s="43"/>
      <c r="P83" s="43"/>
      <c r="Q83" s="43"/>
      <c r="R83" s="84" t="s">
        <v>4</v>
      </c>
      <c r="S83" s="65"/>
      <c r="T83" s="46" t="s">
        <v>357</v>
      </c>
      <c r="U83" s="84" t="s">
        <v>3</v>
      </c>
      <c r="V83" s="65"/>
      <c r="W83" s="46" t="s">
        <v>358</v>
      </c>
      <c r="X83" s="82"/>
      <c r="Y83" s="65"/>
      <c r="Z83" s="43"/>
    </row>
    <row r="84" spans="1:26" ht="37.5" customHeight="1">
      <c r="A84" s="43"/>
      <c r="B84" s="66" t="str">
        <f ca="1">IFERROR(VLOOKUP(R84,Images!$A:$C,3,FALSE),R84)</f>
        <v>Poison</v>
      </c>
      <c r="C84" s="65"/>
      <c r="D84" s="46" t="s">
        <v>357</v>
      </c>
      <c r="E84" s="66" t="str">
        <f ca="1">IFERROR(VLOOKUP(U84,Images!$A:$C,3,FALSE),"")</f>
        <v/>
      </c>
      <c r="F84" s="65"/>
      <c r="G84" s="46" t="s">
        <v>358</v>
      </c>
      <c r="H84" s="64" t="s">
        <v>360</v>
      </c>
      <c r="I84" s="65"/>
      <c r="J84" s="43"/>
      <c r="K84" s="43"/>
      <c r="L84" s="43"/>
      <c r="M84" s="43"/>
      <c r="N84" s="43"/>
      <c r="O84" s="43"/>
      <c r="P84" s="43"/>
      <c r="Q84" s="43"/>
      <c r="R84" s="84" t="s">
        <v>4</v>
      </c>
      <c r="S84" s="65"/>
      <c r="T84" s="46" t="s">
        <v>357</v>
      </c>
      <c r="U84" s="84" t="s">
        <v>4</v>
      </c>
      <c r="V84" s="65"/>
      <c r="W84" s="46" t="s">
        <v>358</v>
      </c>
      <c r="X84" s="82" t="s">
        <v>360</v>
      </c>
      <c r="Y84" s="65"/>
      <c r="Z84" s="43"/>
    </row>
    <row r="85" spans="1:26" ht="37.5" customHeight="1">
      <c r="A85" s="43"/>
      <c r="B85" s="66" t="str">
        <f ca="1">IFERROR(VLOOKUP(R85,Images!$A:$C,3,FALSE),R85)</f>
        <v>Poison</v>
      </c>
      <c r="C85" s="65"/>
      <c r="D85" s="46" t="s">
        <v>357</v>
      </c>
      <c r="E85" s="66" t="str">
        <f ca="1">IFERROR(VLOOKUP(U85,Images!$A:$C,3,FALSE),"")</f>
        <v/>
      </c>
      <c r="F85" s="65"/>
      <c r="G85" s="46" t="s">
        <v>358</v>
      </c>
      <c r="H85" s="64" t="str">
        <f>IFERROR(VLOOKUP(X85,Images!$A:$C,3,FALSE),X85)</f>
        <v>Event Equipment (Master of Elements)</v>
      </c>
      <c r="I85" s="65"/>
      <c r="J85" s="43"/>
      <c r="K85" s="43"/>
      <c r="L85" s="43"/>
      <c r="M85" s="43"/>
      <c r="N85" s="43"/>
      <c r="O85" s="43"/>
      <c r="P85" s="43"/>
      <c r="Q85" s="43"/>
      <c r="R85" s="84" t="s">
        <v>4</v>
      </c>
      <c r="S85" s="65"/>
      <c r="T85" s="46" t="s">
        <v>357</v>
      </c>
      <c r="U85" s="84" t="s">
        <v>5</v>
      </c>
      <c r="V85" s="65"/>
      <c r="W85" s="46" t="s">
        <v>358</v>
      </c>
      <c r="X85" s="82" t="s">
        <v>41</v>
      </c>
      <c r="Y85" s="65"/>
      <c r="Z85" s="43"/>
    </row>
    <row r="86" spans="1:26" ht="37.5" customHeight="1">
      <c r="A86" s="43"/>
      <c r="B86" s="66" t="str">
        <f ca="1">IFERROR(VLOOKUP(R86,Images!$A:$C,3,FALSE),R86)</f>
        <v>Poison</v>
      </c>
      <c r="C86" s="65"/>
      <c r="D86" s="46" t="s">
        <v>357</v>
      </c>
      <c r="E86" s="66" t="str">
        <f ca="1">IFERROR(VLOOKUP(U86,Images!$A:$C,3,FALSE),"")</f>
        <v/>
      </c>
      <c r="F86" s="65"/>
      <c r="G86" s="46" t="s">
        <v>358</v>
      </c>
      <c r="H86" s="64" t="str">
        <f>IFERROR(VLOOKUP(X86,Images!$A:$C,3,FALSE),X86)</f>
        <v>6 Shards</v>
      </c>
      <c r="I86" s="65"/>
      <c r="J86" s="43"/>
      <c r="K86" s="43"/>
      <c r="L86" s="43"/>
      <c r="M86" s="43"/>
      <c r="N86" s="43"/>
      <c r="O86" s="43"/>
      <c r="P86" s="43"/>
      <c r="Q86" s="43"/>
      <c r="R86" s="84" t="s">
        <v>4</v>
      </c>
      <c r="S86" s="65"/>
      <c r="T86" s="46" t="s">
        <v>357</v>
      </c>
      <c r="U86" s="84" t="s">
        <v>6</v>
      </c>
      <c r="V86" s="65"/>
      <c r="W86" s="46" t="s">
        <v>358</v>
      </c>
      <c r="X86" s="82" t="s">
        <v>162</v>
      </c>
      <c r="Y86" s="65"/>
      <c r="Z86" s="43"/>
    </row>
    <row r="87" spans="1:26" ht="37.5" customHeight="1">
      <c r="A87" s="43"/>
      <c r="B87" s="66" t="str">
        <f ca="1">IFERROR(VLOOKUP(R87,Images!$A:$C,3,FALSE),R87)</f>
        <v>Poison</v>
      </c>
      <c r="C87" s="65"/>
      <c r="D87" s="46" t="s">
        <v>357</v>
      </c>
      <c r="E87" s="66" t="str">
        <f ca="1">IFERROR(VLOOKUP(U87,Images!$A:$C,3,FALSE),"")</f>
        <v/>
      </c>
      <c r="F87" s="65"/>
      <c r="G87" s="46" t="s">
        <v>358</v>
      </c>
      <c r="H87" s="64" t="str">
        <f>IFERROR(VLOOKUP(X87,Images!$A:$C,3,FALSE),X87)</f>
        <v>590 Dust</v>
      </c>
      <c r="I87" s="65"/>
      <c r="J87" s="43"/>
      <c r="K87" s="43"/>
      <c r="L87" s="43"/>
      <c r="M87" s="43"/>
      <c r="N87" s="43"/>
      <c r="O87" s="43"/>
      <c r="P87" s="43"/>
      <c r="Q87" s="43"/>
      <c r="R87" s="84" t="s">
        <v>4</v>
      </c>
      <c r="S87" s="65"/>
      <c r="T87" s="46" t="s">
        <v>357</v>
      </c>
      <c r="U87" s="84" t="s">
        <v>7</v>
      </c>
      <c r="V87" s="65"/>
      <c r="W87" s="46" t="s">
        <v>358</v>
      </c>
      <c r="X87" s="82" t="s">
        <v>407</v>
      </c>
      <c r="Y87" s="65"/>
      <c r="Z87" s="43"/>
    </row>
    <row r="88" spans="1:26" ht="37.5" customHeight="1">
      <c r="A88" s="43"/>
      <c r="B88" s="66" t="str">
        <f ca="1">IFERROR(VLOOKUP(R88,Images!$A:$C,3,FALSE),R88)</f>
        <v>Poison</v>
      </c>
      <c r="C88" s="65"/>
      <c r="D88" s="46" t="s">
        <v>357</v>
      </c>
      <c r="E88" s="66" t="str">
        <f ca="1">IFERROR(VLOOKUP(U88,Images!$A:$C,3,FALSE),"")</f>
        <v/>
      </c>
      <c r="F88" s="65"/>
      <c r="G88" s="46" t="s">
        <v>358</v>
      </c>
      <c r="H88" s="64" t="str">
        <f>IFERROR(VLOOKUP(X88,Images!$A:$C,3,FALSE),X88)</f>
        <v>40 Raid Card
Fragments</v>
      </c>
      <c r="I88" s="65"/>
      <c r="J88" s="43"/>
      <c r="K88" s="43"/>
      <c r="L88" s="43"/>
      <c r="M88" s="43"/>
      <c r="N88" s="43"/>
      <c r="O88" s="43"/>
      <c r="P88" s="43"/>
      <c r="Q88" s="43"/>
      <c r="R88" s="84" t="s">
        <v>4</v>
      </c>
      <c r="S88" s="65"/>
      <c r="T88" s="46" t="s">
        <v>357</v>
      </c>
      <c r="U88" s="84" t="s">
        <v>8</v>
      </c>
      <c r="V88" s="65"/>
      <c r="W88" s="46" t="s">
        <v>358</v>
      </c>
      <c r="X88" s="82" t="s">
        <v>408</v>
      </c>
      <c r="Y88" s="65"/>
      <c r="Z88" s="43"/>
    </row>
    <row r="89" spans="1:26" ht="37.5" customHeight="1">
      <c r="A89" s="43"/>
      <c r="B89" s="66" t="str">
        <f ca="1">IFERROR(VLOOKUP(R89,Images!$A:$C,3,FALSE),R89)</f>
        <v>Poison</v>
      </c>
      <c r="C89" s="65"/>
      <c r="D89" s="46" t="s">
        <v>357</v>
      </c>
      <c r="E89" s="66" t="str">
        <f ca="1">IFERROR(VLOOKUP(U89,Images!$A:$C,3,FALSE),"")</f>
        <v/>
      </c>
      <c r="F89" s="65"/>
      <c r="G89" s="46" t="s">
        <v>358</v>
      </c>
      <c r="H89" s="64" t="str">
        <f>IFERROR(VLOOKUP(X89,Images!$A:$C,3,FALSE),X89)</f>
        <v>980 Dust</v>
      </c>
      <c r="I89" s="65"/>
      <c r="J89" s="43"/>
      <c r="K89" s="43"/>
      <c r="L89" s="43"/>
      <c r="M89" s="43"/>
      <c r="N89" s="43"/>
      <c r="O89" s="43"/>
      <c r="P89" s="43"/>
      <c r="Q89" s="43"/>
      <c r="R89" s="84" t="s">
        <v>4</v>
      </c>
      <c r="S89" s="65"/>
      <c r="T89" s="46" t="s">
        <v>357</v>
      </c>
      <c r="U89" s="84" t="s">
        <v>9</v>
      </c>
      <c r="V89" s="65"/>
      <c r="W89" s="46" t="s">
        <v>358</v>
      </c>
      <c r="X89" s="82" t="s">
        <v>409</v>
      </c>
      <c r="Y89" s="65"/>
      <c r="Z89" s="43"/>
    </row>
    <row r="90" spans="1:26" ht="37.5" customHeight="1">
      <c r="A90" s="43"/>
      <c r="B90" s="66" t="str">
        <f ca="1">IFERROR(VLOOKUP(R90,Images!$A:$C,3,FALSE),R90)</f>
        <v>Poison</v>
      </c>
      <c r="C90" s="65"/>
      <c r="D90" s="46" t="s">
        <v>357</v>
      </c>
      <c r="E90" s="66" t="str">
        <f ca="1">IFERROR(VLOOKUP(U90,Images!$A:$C,3,FALSE),"")</f>
        <v/>
      </c>
      <c r="F90" s="65"/>
      <c r="G90" s="46" t="s">
        <v>358</v>
      </c>
      <c r="H90" s="64" t="str">
        <f>IFERROR(VLOOKUP(X90,Images!$A:$C,3,FALSE),X90)</f>
        <v>1 Fortune Scroll</v>
      </c>
      <c r="I90" s="65"/>
      <c r="J90" s="43"/>
      <c r="K90" s="43"/>
      <c r="L90" s="43"/>
      <c r="M90" s="43"/>
      <c r="N90" s="43"/>
      <c r="O90" s="43"/>
      <c r="P90" s="43"/>
      <c r="Q90" s="43"/>
      <c r="R90" s="84" t="s">
        <v>4</v>
      </c>
      <c r="S90" s="65"/>
      <c r="T90" s="46" t="s">
        <v>357</v>
      </c>
      <c r="U90" s="84" t="s">
        <v>10</v>
      </c>
      <c r="V90" s="65"/>
      <c r="W90" s="46" t="s">
        <v>358</v>
      </c>
      <c r="X90" s="82" t="s">
        <v>105</v>
      </c>
      <c r="Y90" s="65"/>
      <c r="Z90" s="43"/>
    </row>
    <row r="91" spans="1:26" ht="37.5" customHeight="1">
      <c r="A91" s="43"/>
      <c r="B91" s="66" t="str">
        <f ca="1">IFERROR(VLOOKUP(R91,Images!$A:$C,3,FALSE),R91)</f>
        <v>Poison</v>
      </c>
      <c r="C91" s="65"/>
      <c r="D91" s="46" t="s">
        <v>357</v>
      </c>
      <c r="E91" s="66" t="str">
        <f ca="1">IFERROR(VLOOKUP(U91,Images!$A:$C,3,FALSE),"")</f>
        <v/>
      </c>
      <c r="F91" s="65"/>
      <c r="G91" s="46" t="s">
        <v>358</v>
      </c>
      <c r="H91" s="64" t="str">
        <f>IFERROR(VLOOKUP(X91,Images!$A:$C,3,FALSE),X91)</f>
        <v>105 Currency</v>
      </c>
      <c r="I91" s="65"/>
      <c r="J91" s="43"/>
      <c r="K91" s="43"/>
      <c r="L91" s="43"/>
      <c r="M91" s="43"/>
      <c r="N91" s="43"/>
      <c r="O91" s="43"/>
      <c r="P91" s="43"/>
      <c r="Q91" s="43"/>
      <c r="R91" s="84" t="s">
        <v>4</v>
      </c>
      <c r="S91" s="65"/>
      <c r="T91" s="46" t="s">
        <v>357</v>
      </c>
      <c r="U91" s="84" t="s">
        <v>11</v>
      </c>
      <c r="V91" s="65"/>
      <c r="W91" s="46" t="s">
        <v>358</v>
      </c>
      <c r="X91" s="82" t="s">
        <v>400</v>
      </c>
      <c r="Y91" s="65"/>
      <c r="Z91" s="43"/>
    </row>
    <row r="92" spans="1:26" ht="37.5" customHeight="1">
      <c r="A92" s="43"/>
      <c r="B92" s="66" t="str">
        <f ca="1">IFERROR(VLOOKUP(R92,Images!$A:$C,3,FALSE),R92)</f>
        <v>Poison</v>
      </c>
      <c r="C92" s="65"/>
      <c r="D92" s="46" t="s">
        <v>357</v>
      </c>
      <c r="E92" s="66" t="str">
        <f ca="1">IFERROR(VLOOKUP(U92,Images!$A:$C,3,FALSE),"")</f>
        <v/>
      </c>
      <c r="F92" s="65"/>
      <c r="G92" s="46" t="s">
        <v>358</v>
      </c>
      <c r="H92" s="64" t="str">
        <f>IFERROR(VLOOKUP(X92,Images!$A:$C,3,FALSE),X92)</f>
        <v>68 Raid Cards</v>
      </c>
      <c r="I92" s="65"/>
      <c r="J92" s="43"/>
      <c r="K92" s="43"/>
      <c r="L92" s="43"/>
      <c r="M92" s="43"/>
      <c r="N92" s="43"/>
      <c r="O92" s="43"/>
      <c r="P92" s="43"/>
      <c r="Q92" s="43"/>
      <c r="R92" s="84" t="s">
        <v>4</v>
      </c>
      <c r="S92" s="65"/>
      <c r="T92" s="46" t="s">
        <v>357</v>
      </c>
      <c r="U92" s="84" t="s">
        <v>12</v>
      </c>
      <c r="V92" s="65"/>
      <c r="W92" s="46" t="s">
        <v>358</v>
      </c>
      <c r="X92" s="82" t="s">
        <v>410</v>
      </c>
      <c r="Y92" s="65"/>
      <c r="Z92" s="43"/>
    </row>
    <row r="93" spans="1:26" ht="37.5" customHeight="1">
      <c r="A93" s="43"/>
      <c r="B93" s="66" t="str">
        <f ca="1">IFERROR(VLOOKUP(R93,Images!$A:$C,3,FALSE),R93)</f>
        <v>Poison</v>
      </c>
      <c r="C93" s="65"/>
      <c r="D93" s="46" t="s">
        <v>357</v>
      </c>
      <c r="E93" s="66" t="str">
        <f ca="1">IFERROR(VLOOKUP(U93,Images!$A:$C,3,FALSE),"")</f>
        <v/>
      </c>
      <c r="F93" s="65"/>
      <c r="G93" s="46" t="s">
        <v>358</v>
      </c>
      <c r="H93" s="64" t="str">
        <f>IFERROR(VLOOKUP(X93,Images!$A:$C,3,FALSE),X93)</f>
        <v>116 Currency</v>
      </c>
      <c r="I93" s="65"/>
      <c r="J93" s="43"/>
      <c r="K93" s="43"/>
      <c r="L93" s="43"/>
      <c r="M93" s="43"/>
      <c r="N93" s="43"/>
      <c r="O93" s="43"/>
      <c r="P93" s="43"/>
      <c r="Q93" s="43"/>
      <c r="R93" s="84" t="s">
        <v>4</v>
      </c>
      <c r="S93" s="65"/>
      <c r="T93" s="46" t="s">
        <v>357</v>
      </c>
      <c r="U93" s="84" t="s">
        <v>13</v>
      </c>
      <c r="V93" s="65"/>
      <c r="W93" s="46" t="s">
        <v>358</v>
      </c>
      <c r="X93" s="82" t="s">
        <v>66</v>
      </c>
      <c r="Y93" s="65"/>
      <c r="Z93" s="43"/>
    </row>
    <row r="94" spans="1:26" ht="37.5" customHeight="1">
      <c r="A94" s="43"/>
      <c r="B94" s="43"/>
      <c r="C94" s="43"/>
      <c r="D94" s="43"/>
      <c r="E94" s="43"/>
      <c r="F94" s="43"/>
      <c r="G94" s="43"/>
      <c r="H94" s="67" t="str">
        <f>HYPERLINK("https://docs.google.com/spreadsheets/d/1o95Ipwx6NIyFV3LCz9LGNbH9_WELHF-pbpkM31YwXyY/edit#gid=0&amp;range=A1","Back to Top")</f>
        <v>Back to Top</v>
      </c>
      <c r="I94" s="65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83" t="s">
        <v>440</v>
      </c>
      <c r="Y94" s="65"/>
      <c r="Z94" s="43"/>
    </row>
    <row r="95" spans="1:26" ht="37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37.5" customHeight="1">
      <c r="A96" s="43"/>
      <c r="B96" s="68" t="str">
        <f>R96</f>
        <v>Beetle Recipes</v>
      </c>
      <c r="C96" s="69"/>
      <c r="D96" s="69"/>
      <c r="E96" s="69"/>
      <c r="F96" s="69"/>
      <c r="G96" s="69"/>
      <c r="H96" s="69"/>
      <c r="I96" s="65"/>
      <c r="J96" s="43"/>
      <c r="K96" s="43"/>
      <c r="L96" s="43"/>
      <c r="M96" s="43"/>
      <c r="N96" s="43"/>
      <c r="O96" s="43"/>
      <c r="P96" s="43"/>
      <c r="Q96" s="43"/>
      <c r="R96" s="85" t="s">
        <v>445</v>
      </c>
      <c r="S96" s="69"/>
      <c r="T96" s="69"/>
      <c r="U96" s="69"/>
      <c r="V96" s="69"/>
      <c r="W96" s="69"/>
      <c r="X96" s="69"/>
      <c r="Y96" s="65"/>
      <c r="Z96" s="43"/>
    </row>
    <row r="97" spans="1:26" ht="37.5" customHeight="1">
      <c r="A97" s="43"/>
      <c r="B97" s="66" t="str">
        <f ca="1">IFERROR(VLOOKUP(R97,Images!$A:$C,3,FALSE),R97)</f>
        <v>Beetle</v>
      </c>
      <c r="C97" s="65"/>
      <c r="D97" s="46" t="s">
        <v>357</v>
      </c>
      <c r="E97" s="66" t="str">
        <f ca="1">IFERROR(VLOOKUP(U97,Images!$A:$C,3,FALSE),"")</f>
        <v/>
      </c>
      <c r="F97" s="65"/>
      <c r="G97" s="46" t="s">
        <v>358</v>
      </c>
      <c r="H97" s="64" t="str">
        <f>IFERROR(VLOOKUP(X97,Images!$A:$C,3,FALSE),X97)</f>
        <v>26 Currency</v>
      </c>
      <c r="I97" s="65"/>
      <c r="J97" s="43"/>
      <c r="K97" s="43"/>
      <c r="L97" s="43"/>
      <c r="M97" s="43"/>
      <c r="N97" s="43"/>
      <c r="O97" s="43"/>
      <c r="P97" s="43"/>
      <c r="Q97" s="43"/>
      <c r="R97" s="84" t="s">
        <v>5</v>
      </c>
      <c r="S97" s="65"/>
      <c r="T97" s="46" t="s">
        <v>357</v>
      </c>
      <c r="U97" s="84" t="s">
        <v>0</v>
      </c>
      <c r="V97" s="65"/>
      <c r="W97" s="46" t="s">
        <v>358</v>
      </c>
      <c r="X97" s="82" t="s">
        <v>388</v>
      </c>
      <c r="Y97" s="65"/>
      <c r="Z97" s="43"/>
    </row>
    <row r="98" spans="1:26" ht="37.5" customHeight="1">
      <c r="A98" s="43"/>
      <c r="B98" s="66" t="str">
        <f ca="1">IFERROR(VLOOKUP(R98,Images!$A:$C,3,FALSE),R98)</f>
        <v>Beetle</v>
      </c>
      <c r="C98" s="65"/>
      <c r="D98" s="46" t="s">
        <v>357</v>
      </c>
      <c r="E98" s="66" t="str">
        <f ca="1">IFERROR(VLOOKUP(U98,Images!$A:$C,3,FALSE),"")</f>
        <v/>
      </c>
      <c r="F98" s="65"/>
      <c r="G98" s="46" t="s">
        <v>358</v>
      </c>
      <c r="H98" s="64" t="str">
        <f>IFERROR(VLOOKUP(X98,Images!$A:$C,3,FALSE),X98)</f>
        <v>4 Pet Eggs</v>
      </c>
      <c r="I98" s="65"/>
      <c r="J98" s="43"/>
      <c r="K98" s="43"/>
      <c r="L98" s="43"/>
      <c r="M98" s="43"/>
      <c r="N98" s="43"/>
      <c r="O98" s="43"/>
      <c r="P98" s="43"/>
      <c r="Q98" s="43"/>
      <c r="R98" s="84" t="s">
        <v>5</v>
      </c>
      <c r="S98" s="65"/>
      <c r="T98" s="46" t="s">
        <v>357</v>
      </c>
      <c r="U98" s="84" t="s">
        <v>1</v>
      </c>
      <c r="V98" s="65"/>
      <c r="W98" s="46" t="s">
        <v>358</v>
      </c>
      <c r="X98" s="82" t="s">
        <v>391</v>
      </c>
      <c r="Y98" s="65"/>
      <c r="Z98" s="43"/>
    </row>
    <row r="99" spans="1:26" ht="37.5" customHeight="1">
      <c r="A99" s="43"/>
      <c r="B99" s="66" t="str">
        <f ca="1">IFERROR(VLOOKUP(R99,Images!$A:$C,3,FALSE),R99)</f>
        <v>Beetle</v>
      </c>
      <c r="C99" s="65"/>
      <c r="D99" s="46" t="s">
        <v>357</v>
      </c>
      <c r="E99" s="66" t="str">
        <f ca="1">IFERROR(VLOOKUP(U99,Images!$A:$C,3,FALSE),"")</f>
        <v/>
      </c>
      <c r="F99" s="65"/>
      <c r="G99" s="46" t="s">
        <v>358</v>
      </c>
      <c r="H99" s="64">
        <f>IFERROR(VLOOKUP(X99,Images!$A:$C,3,FALSE),X99)</f>
        <v>0</v>
      </c>
      <c r="I99" s="65"/>
      <c r="J99" s="43"/>
      <c r="K99" s="43"/>
      <c r="L99" s="43"/>
      <c r="M99" s="43"/>
      <c r="N99" s="43"/>
      <c r="O99" s="43"/>
      <c r="P99" s="43"/>
      <c r="Q99" s="43"/>
      <c r="R99" s="84" t="s">
        <v>5</v>
      </c>
      <c r="S99" s="65"/>
      <c r="T99" s="46" t="s">
        <v>357</v>
      </c>
      <c r="U99" s="84" t="s">
        <v>2</v>
      </c>
      <c r="V99" s="65"/>
      <c r="W99" s="46" t="s">
        <v>358</v>
      </c>
      <c r="X99" s="82"/>
      <c r="Y99" s="65"/>
      <c r="Z99" s="43"/>
    </row>
    <row r="100" spans="1:26" ht="37.5" customHeight="1">
      <c r="A100" s="43"/>
      <c r="B100" s="66" t="str">
        <f ca="1">IFERROR(VLOOKUP(R100,Images!$A:$C,3,FALSE),R100)</f>
        <v>Beetle</v>
      </c>
      <c r="C100" s="65"/>
      <c r="D100" s="46" t="s">
        <v>357</v>
      </c>
      <c r="E100" s="66" t="str">
        <f ca="1">IFERROR(VLOOKUP(U100,Images!$A:$C,3,FALSE),"")</f>
        <v/>
      </c>
      <c r="F100" s="65"/>
      <c r="G100" s="46" t="s">
        <v>358</v>
      </c>
      <c r="H100" s="64">
        <f>IFERROR(VLOOKUP(X100,Images!$A:$C,3,FALSE),X100)</f>
        <v>0</v>
      </c>
      <c r="I100" s="65"/>
      <c r="J100" s="43"/>
      <c r="K100" s="43"/>
      <c r="L100" s="43"/>
      <c r="M100" s="43"/>
      <c r="N100" s="43"/>
      <c r="O100" s="43"/>
      <c r="P100" s="43"/>
      <c r="Q100" s="43"/>
      <c r="R100" s="84" t="s">
        <v>5</v>
      </c>
      <c r="S100" s="65"/>
      <c r="T100" s="46" t="s">
        <v>357</v>
      </c>
      <c r="U100" s="84" t="s">
        <v>3</v>
      </c>
      <c r="V100" s="65"/>
      <c r="W100" s="46" t="s">
        <v>358</v>
      </c>
      <c r="X100" s="82"/>
      <c r="Y100" s="65"/>
      <c r="Z100" s="43"/>
    </row>
    <row r="101" spans="1:26" ht="37.5" customHeight="1">
      <c r="A101" s="43"/>
      <c r="B101" s="66" t="str">
        <f ca="1">IFERROR(VLOOKUP(R101,Images!$A:$C,3,FALSE),R101)</f>
        <v>Beetle</v>
      </c>
      <c r="C101" s="65"/>
      <c r="D101" s="46" t="s">
        <v>357</v>
      </c>
      <c r="E101" s="66" t="str">
        <f ca="1">IFERROR(VLOOKUP(U101,Images!$A:$C,3,FALSE),"")</f>
        <v/>
      </c>
      <c r="F101" s="65"/>
      <c r="G101" s="46" t="s">
        <v>358</v>
      </c>
      <c r="H101" s="64" t="str">
        <f>IFERROR(VLOOKUP(X101,Images!$A:$C,3,FALSE),X101)</f>
        <v>Event Equipment (Master of Elements)</v>
      </c>
      <c r="I101" s="65"/>
      <c r="J101" s="43"/>
      <c r="K101" s="43"/>
      <c r="L101" s="43"/>
      <c r="M101" s="43"/>
      <c r="N101" s="43"/>
      <c r="O101" s="43"/>
      <c r="P101" s="43"/>
      <c r="Q101" s="43"/>
      <c r="R101" s="84" t="s">
        <v>5</v>
      </c>
      <c r="S101" s="65"/>
      <c r="T101" s="46" t="s">
        <v>357</v>
      </c>
      <c r="U101" s="84" t="s">
        <v>4</v>
      </c>
      <c r="V101" s="65"/>
      <c r="W101" s="46" t="s">
        <v>358</v>
      </c>
      <c r="X101" s="82" t="s">
        <v>41</v>
      </c>
      <c r="Y101" s="65"/>
      <c r="Z101" s="43"/>
    </row>
    <row r="102" spans="1:26" ht="37.5" customHeight="1">
      <c r="A102" s="43"/>
      <c r="B102" s="66" t="str">
        <f ca="1">IFERROR(VLOOKUP(R102,Images!$A:$C,3,FALSE),R102)</f>
        <v>Beetle</v>
      </c>
      <c r="C102" s="65"/>
      <c r="D102" s="46" t="s">
        <v>357</v>
      </c>
      <c r="E102" s="66" t="str">
        <f ca="1">IFERROR(VLOOKUP(U102,Images!$A:$C,3,FALSE),"")</f>
        <v/>
      </c>
      <c r="F102" s="65"/>
      <c r="G102" s="46" t="s">
        <v>358</v>
      </c>
      <c r="H102" s="64" t="str">
        <f>IFERROR(VLOOKUP(X102,Images!$A:$C,3,FALSE),X102)</f>
        <v>42 Currency</v>
      </c>
      <c r="I102" s="65"/>
      <c r="J102" s="43"/>
      <c r="K102" s="43"/>
      <c r="L102" s="43"/>
      <c r="M102" s="43"/>
      <c r="N102" s="43"/>
      <c r="O102" s="43"/>
      <c r="P102" s="43"/>
      <c r="Q102" s="43"/>
      <c r="R102" s="84" t="s">
        <v>5</v>
      </c>
      <c r="S102" s="65"/>
      <c r="T102" s="46" t="s">
        <v>357</v>
      </c>
      <c r="U102" s="84" t="s">
        <v>5</v>
      </c>
      <c r="V102" s="65"/>
      <c r="W102" s="46" t="s">
        <v>358</v>
      </c>
      <c r="X102" s="82" t="s">
        <v>360</v>
      </c>
      <c r="Y102" s="65"/>
      <c r="Z102" s="43"/>
    </row>
    <row r="103" spans="1:26" ht="37.5" customHeight="1">
      <c r="A103" s="43"/>
      <c r="B103" s="66" t="str">
        <f ca="1">IFERROR(VLOOKUP(R103,Images!$A:$C,3,FALSE),R103)</f>
        <v>Beetle</v>
      </c>
      <c r="C103" s="65"/>
      <c r="D103" s="46" t="s">
        <v>357</v>
      </c>
      <c r="E103" s="66" t="str">
        <f ca="1">IFERROR(VLOOKUP(U103,Images!$A:$C,3,FALSE),"")</f>
        <v/>
      </c>
      <c r="F103" s="65"/>
      <c r="G103" s="46" t="s">
        <v>358</v>
      </c>
      <c r="H103" s="64" t="str">
        <f>IFERROR(VLOOKUP(X103,Images!$A:$C,3,FALSE),X103)</f>
        <v>9 Pet Eggs</v>
      </c>
      <c r="I103" s="65"/>
      <c r="J103" s="43"/>
      <c r="K103" s="43"/>
      <c r="L103" s="43"/>
      <c r="M103" s="43"/>
      <c r="N103" s="43"/>
      <c r="O103" s="43"/>
      <c r="P103" s="43"/>
      <c r="Q103" s="43"/>
      <c r="R103" s="84" t="s">
        <v>5</v>
      </c>
      <c r="S103" s="65"/>
      <c r="T103" s="46" t="s">
        <v>357</v>
      </c>
      <c r="U103" s="84" t="s">
        <v>6</v>
      </c>
      <c r="V103" s="65"/>
      <c r="W103" s="46" t="s">
        <v>358</v>
      </c>
      <c r="X103" s="82" t="s">
        <v>411</v>
      </c>
      <c r="Y103" s="65"/>
      <c r="Z103" s="43"/>
    </row>
    <row r="104" spans="1:26" ht="37.5" customHeight="1">
      <c r="A104" s="43"/>
      <c r="B104" s="66" t="str">
        <f ca="1">IFERROR(VLOOKUP(R104,Images!$A:$C,3,FALSE),R104)</f>
        <v>Beetle</v>
      </c>
      <c r="C104" s="65"/>
      <c r="D104" s="46" t="s">
        <v>357</v>
      </c>
      <c r="E104" s="66" t="str">
        <f ca="1">IFERROR(VLOOKUP(U104,Images!$A:$C,3,FALSE),"")</f>
        <v/>
      </c>
      <c r="F104" s="65"/>
      <c r="G104" s="46" t="s">
        <v>358</v>
      </c>
      <c r="H104" s="64" t="str">
        <f>IFERROR(VLOOKUP(X104,Images!$A:$C,3,FALSE),X104)</f>
        <v>590 Dust</v>
      </c>
      <c r="I104" s="65"/>
      <c r="J104" s="43"/>
      <c r="K104" s="43"/>
      <c r="L104" s="43"/>
      <c r="M104" s="43"/>
      <c r="N104" s="43"/>
      <c r="O104" s="43"/>
      <c r="P104" s="43"/>
      <c r="Q104" s="43"/>
      <c r="R104" s="84" t="s">
        <v>5</v>
      </c>
      <c r="S104" s="65"/>
      <c r="T104" s="46" t="s">
        <v>357</v>
      </c>
      <c r="U104" s="84" t="s">
        <v>7</v>
      </c>
      <c r="V104" s="65"/>
      <c r="W104" s="46" t="s">
        <v>358</v>
      </c>
      <c r="X104" s="82" t="s">
        <v>407</v>
      </c>
      <c r="Y104" s="65"/>
      <c r="Z104" s="43"/>
    </row>
    <row r="105" spans="1:26" ht="37.5" customHeight="1">
      <c r="A105" s="43"/>
      <c r="B105" s="66" t="str">
        <f ca="1">IFERROR(VLOOKUP(R105,Images!$A:$C,3,FALSE),R105)</f>
        <v>Beetle</v>
      </c>
      <c r="C105" s="65"/>
      <c r="D105" s="46" t="s">
        <v>357</v>
      </c>
      <c r="E105" s="66" t="str">
        <f ca="1">IFERROR(VLOOKUP(U105,Images!$A:$C,3,FALSE),"")</f>
        <v/>
      </c>
      <c r="F105" s="65"/>
      <c r="G105" s="46" t="s">
        <v>358</v>
      </c>
      <c r="H105" s="64" t="str">
        <f>IFERROR(VLOOKUP(X105,Images!$A:$C,3,FALSE),X105)</f>
        <v>10 Pet Eggs</v>
      </c>
      <c r="I105" s="65"/>
      <c r="J105" s="43"/>
      <c r="K105" s="43"/>
      <c r="L105" s="43"/>
      <c r="M105" s="43"/>
      <c r="N105" s="43"/>
      <c r="O105" s="43"/>
      <c r="P105" s="43"/>
      <c r="Q105" s="43"/>
      <c r="R105" s="84" t="s">
        <v>5</v>
      </c>
      <c r="S105" s="65"/>
      <c r="T105" s="46" t="s">
        <v>357</v>
      </c>
      <c r="U105" s="84" t="s">
        <v>8</v>
      </c>
      <c r="V105" s="65"/>
      <c r="W105" s="46" t="s">
        <v>358</v>
      </c>
      <c r="X105" s="82" t="s">
        <v>172</v>
      </c>
      <c r="Y105" s="65"/>
      <c r="Z105" s="43"/>
    </row>
    <row r="106" spans="1:26" ht="37.5" customHeight="1">
      <c r="A106" s="43"/>
      <c r="B106" s="66" t="str">
        <f ca="1">IFERROR(VLOOKUP(R106,Images!$A:$C,3,FALSE),R106)</f>
        <v>Beetle</v>
      </c>
      <c r="C106" s="65"/>
      <c r="D106" s="46" t="s">
        <v>357</v>
      </c>
      <c r="E106" s="66" t="str">
        <f ca="1">IFERROR(VLOOKUP(U106,Images!$A:$C,3,FALSE),"")</f>
        <v/>
      </c>
      <c r="F106" s="65"/>
      <c r="G106" s="46" t="s">
        <v>358</v>
      </c>
      <c r="H106" s="64" t="str">
        <f>IFERROR(VLOOKUP(X106,Images!$A:$C,3,FALSE),X106)</f>
        <v>980 Dust</v>
      </c>
      <c r="I106" s="65"/>
      <c r="J106" s="43"/>
      <c r="K106" s="43"/>
      <c r="L106" s="43"/>
      <c r="M106" s="43"/>
      <c r="N106" s="43"/>
      <c r="O106" s="43"/>
      <c r="P106" s="43"/>
      <c r="Q106" s="43"/>
      <c r="R106" s="84" t="s">
        <v>5</v>
      </c>
      <c r="S106" s="65"/>
      <c r="T106" s="46" t="s">
        <v>357</v>
      </c>
      <c r="U106" s="84" t="s">
        <v>9</v>
      </c>
      <c r="V106" s="65"/>
      <c r="W106" s="46" t="s">
        <v>358</v>
      </c>
      <c r="X106" s="82" t="s">
        <v>409</v>
      </c>
      <c r="Y106" s="65"/>
      <c r="Z106" s="43"/>
    </row>
    <row r="107" spans="1:26" ht="37.5" customHeight="1">
      <c r="A107" s="43"/>
      <c r="B107" s="66" t="str">
        <f ca="1">IFERROR(VLOOKUP(R107,Images!$A:$C,3,FALSE),R107)</f>
        <v>Beetle</v>
      </c>
      <c r="C107" s="65"/>
      <c r="D107" s="46" t="s">
        <v>357</v>
      </c>
      <c r="E107" s="66" t="str">
        <f ca="1">IFERROR(VLOOKUP(U107,Images!$A:$C,3,FALSE),"")</f>
        <v/>
      </c>
      <c r="F107" s="65"/>
      <c r="G107" s="46" t="s">
        <v>358</v>
      </c>
      <c r="H107" s="64" t="str">
        <f>IFERROR(VLOOKUP(X107,Images!$A:$C,3,FALSE),X107)</f>
        <v>16 Pets</v>
      </c>
      <c r="I107" s="65"/>
      <c r="J107" s="43"/>
      <c r="K107" s="43"/>
      <c r="L107" s="43"/>
      <c r="M107" s="43"/>
      <c r="N107" s="43"/>
      <c r="O107" s="43"/>
      <c r="P107" s="43"/>
      <c r="Q107" s="43"/>
      <c r="R107" s="84" t="s">
        <v>5</v>
      </c>
      <c r="S107" s="65"/>
      <c r="T107" s="46" t="s">
        <v>357</v>
      </c>
      <c r="U107" s="84" t="s">
        <v>10</v>
      </c>
      <c r="V107" s="65"/>
      <c r="W107" s="46" t="s">
        <v>358</v>
      </c>
      <c r="X107" s="82" t="s">
        <v>412</v>
      </c>
      <c r="Y107" s="65"/>
      <c r="Z107" s="43"/>
    </row>
    <row r="108" spans="1:26" ht="37.5" customHeight="1">
      <c r="A108" s="43"/>
      <c r="B108" s="66" t="str">
        <f ca="1">IFERROR(VLOOKUP(R108,Images!$A:$C,3,FALSE),R108)</f>
        <v>Beetle</v>
      </c>
      <c r="C108" s="65"/>
      <c r="D108" s="46" t="s">
        <v>357</v>
      </c>
      <c r="E108" s="66" t="str">
        <f ca="1">IFERROR(VLOOKUP(U108,Images!$A:$C,3,FALSE),"")</f>
        <v/>
      </c>
      <c r="F108" s="65"/>
      <c r="G108" s="46" t="s">
        <v>358</v>
      </c>
      <c r="H108" s="64" t="str">
        <f>IFERROR(VLOOKUP(X108,Images!$A:$C,3,FALSE),X108)</f>
        <v>2 Fortune Weapons</v>
      </c>
      <c r="I108" s="65"/>
      <c r="J108" s="43"/>
      <c r="K108" s="43"/>
      <c r="L108" s="43"/>
      <c r="M108" s="43"/>
      <c r="N108" s="43"/>
      <c r="O108" s="43"/>
      <c r="P108" s="43"/>
      <c r="Q108" s="43"/>
      <c r="R108" s="84" t="s">
        <v>5</v>
      </c>
      <c r="S108" s="65"/>
      <c r="T108" s="46" t="s">
        <v>357</v>
      </c>
      <c r="U108" s="84" t="s">
        <v>11</v>
      </c>
      <c r="V108" s="65"/>
      <c r="W108" s="46" t="s">
        <v>358</v>
      </c>
      <c r="X108" s="82" t="s">
        <v>413</v>
      </c>
      <c r="Y108" s="65"/>
      <c r="Z108" s="43"/>
    </row>
    <row r="109" spans="1:26" ht="37.5" customHeight="1">
      <c r="A109" s="43"/>
      <c r="B109" s="66" t="str">
        <f ca="1">IFERROR(VLOOKUP(R109,Images!$A:$C,3,FALSE),R109)</f>
        <v>Beetle</v>
      </c>
      <c r="C109" s="65"/>
      <c r="D109" s="46" t="s">
        <v>357</v>
      </c>
      <c r="E109" s="66" t="str">
        <f ca="1">IFERROR(VLOOKUP(U109,Images!$A:$C,3,FALSE),"")</f>
        <v/>
      </c>
      <c r="F109" s="65"/>
      <c r="G109" s="46" t="s">
        <v>358</v>
      </c>
      <c r="H109" s="64" t="str">
        <f>IFERROR(VLOOKUP(X109,Images!$A:$C,3,FALSE),X109)</f>
        <v>18 Pet Eggs</v>
      </c>
      <c r="I109" s="65"/>
      <c r="J109" s="43"/>
      <c r="K109" s="43"/>
      <c r="L109" s="43"/>
      <c r="M109" s="43"/>
      <c r="N109" s="43"/>
      <c r="O109" s="43"/>
      <c r="P109" s="43"/>
      <c r="Q109" s="43"/>
      <c r="R109" s="84" t="s">
        <v>5</v>
      </c>
      <c r="S109" s="65"/>
      <c r="T109" s="46" t="s">
        <v>357</v>
      </c>
      <c r="U109" s="84" t="s">
        <v>12</v>
      </c>
      <c r="V109" s="65"/>
      <c r="W109" s="46" t="s">
        <v>358</v>
      </c>
      <c r="X109" s="82" t="s">
        <v>414</v>
      </c>
      <c r="Y109" s="65"/>
      <c r="Z109" s="43"/>
    </row>
    <row r="110" spans="1:26" ht="37.5" customHeight="1">
      <c r="A110" s="43"/>
      <c r="B110" s="66" t="str">
        <f ca="1">IFERROR(VLOOKUP(R110,Images!$A:$C,3,FALSE),R110)</f>
        <v>Beetle</v>
      </c>
      <c r="C110" s="65"/>
      <c r="D110" s="46" t="s">
        <v>357</v>
      </c>
      <c r="E110" s="66" t="str">
        <f ca="1">IFERROR(VLOOKUP(U110,Images!$A:$C,3,FALSE),"")</f>
        <v/>
      </c>
      <c r="F110" s="65"/>
      <c r="G110" s="46" t="s">
        <v>358</v>
      </c>
      <c r="H110" s="64" t="str">
        <f>IFERROR(VLOOKUP(X110,Images!$A:$C,3,FALSE),X110)</f>
        <v>19 Pet Eggs</v>
      </c>
      <c r="I110" s="65"/>
      <c r="J110" s="43"/>
      <c r="K110" s="43"/>
      <c r="L110" s="43"/>
      <c r="M110" s="43"/>
      <c r="N110" s="43"/>
      <c r="O110" s="43"/>
      <c r="P110" s="43"/>
      <c r="Q110" s="43"/>
      <c r="R110" s="84" t="s">
        <v>5</v>
      </c>
      <c r="S110" s="65"/>
      <c r="T110" s="46" t="s">
        <v>357</v>
      </c>
      <c r="U110" s="84" t="s">
        <v>13</v>
      </c>
      <c r="V110" s="65"/>
      <c r="W110" s="46" t="s">
        <v>358</v>
      </c>
      <c r="X110" s="82" t="s">
        <v>415</v>
      </c>
      <c r="Y110" s="65"/>
      <c r="Z110" s="43"/>
    </row>
    <row r="111" spans="1:26" ht="37.5" customHeight="1">
      <c r="A111" s="43"/>
      <c r="B111" s="43"/>
      <c r="C111" s="43"/>
      <c r="D111" s="43"/>
      <c r="E111" s="43"/>
      <c r="F111" s="43"/>
      <c r="G111" s="43"/>
      <c r="H111" s="67" t="str">
        <f>HYPERLINK("https://docs.google.com/spreadsheets/d/1o95Ipwx6NIyFV3LCz9LGNbH9_WELHF-pbpkM31YwXyY/edit#gid=0&amp;range=A1","Back to Top")</f>
        <v>Back to Top</v>
      </c>
      <c r="I111" s="65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83" t="s">
        <v>440</v>
      </c>
      <c r="Y111" s="65"/>
      <c r="Z111" s="43"/>
    </row>
    <row r="112" spans="1:26" ht="37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37.5" customHeight="1">
      <c r="A113" s="43"/>
      <c r="B113" s="68" t="str">
        <f>R113</f>
        <v>Tooth Recipes</v>
      </c>
      <c r="C113" s="69"/>
      <c r="D113" s="69"/>
      <c r="E113" s="69"/>
      <c r="F113" s="69"/>
      <c r="G113" s="69"/>
      <c r="H113" s="69"/>
      <c r="I113" s="65"/>
      <c r="J113" s="43"/>
      <c r="K113" s="43"/>
      <c r="L113" s="43"/>
      <c r="M113" s="43"/>
      <c r="N113" s="43"/>
      <c r="O113" s="43"/>
      <c r="P113" s="43"/>
      <c r="Q113" s="43"/>
      <c r="R113" s="85" t="s">
        <v>446</v>
      </c>
      <c r="S113" s="69"/>
      <c r="T113" s="69"/>
      <c r="U113" s="69"/>
      <c r="V113" s="69"/>
      <c r="W113" s="69"/>
      <c r="X113" s="69"/>
      <c r="Y113" s="65"/>
      <c r="Z113" s="43"/>
    </row>
    <row r="114" spans="1:26" ht="37.5" customHeight="1">
      <c r="A114" s="43"/>
      <c r="B114" s="66" t="str">
        <f ca="1">IFERROR(VLOOKUP(R114,Images!$A:$C,3,FALSE),R114)</f>
        <v>Tooth</v>
      </c>
      <c r="C114" s="65"/>
      <c r="D114" s="46" t="s">
        <v>357</v>
      </c>
      <c r="E114" s="66" t="str">
        <f ca="1">IFERROR(VLOOKUP(U114,Images!$A:$C,3,FALSE),"")</f>
        <v/>
      </c>
      <c r="F114" s="65"/>
      <c r="G114" s="46" t="s">
        <v>358</v>
      </c>
      <c r="H114" s="64" t="str">
        <f>IFERROR(VLOOKUP(X114,Images!$A:$C,3,FALSE),X114)</f>
        <v>38 Currency</v>
      </c>
      <c r="I114" s="65"/>
      <c r="J114" s="43"/>
      <c r="K114" s="43"/>
      <c r="L114" s="43"/>
      <c r="M114" s="43"/>
      <c r="N114" s="43"/>
      <c r="O114" s="43"/>
      <c r="P114" s="43"/>
      <c r="Q114" s="43"/>
      <c r="R114" s="84" t="s">
        <v>6</v>
      </c>
      <c r="S114" s="65"/>
      <c r="T114" s="46" t="s">
        <v>357</v>
      </c>
      <c r="U114" s="84" t="s">
        <v>0</v>
      </c>
      <c r="V114" s="65"/>
      <c r="W114" s="46" t="s">
        <v>358</v>
      </c>
      <c r="X114" s="82" t="s">
        <v>44</v>
      </c>
      <c r="Y114" s="65"/>
      <c r="Z114" s="43"/>
    </row>
    <row r="115" spans="1:26" ht="37.5" customHeight="1">
      <c r="A115" s="43"/>
      <c r="B115" s="66" t="str">
        <f ca="1">IFERROR(VLOOKUP(R115,Images!$A:$C,3,FALSE),R115)</f>
        <v>Tooth</v>
      </c>
      <c r="C115" s="65"/>
      <c r="D115" s="46" t="s">
        <v>357</v>
      </c>
      <c r="E115" s="66" t="str">
        <f ca="1">IFERROR(VLOOKUP(U115,Images!$A:$C,3,FALSE),"")</f>
        <v/>
      </c>
      <c r="F115" s="65"/>
      <c r="G115" s="46" t="s">
        <v>358</v>
      </c>
      <c r="H115" s="64" t="str">
        <f>IFERROR(VLOOKUP(X115,Images!$A:$C,3,FALSE),X115)</f>
        <v>4 Shards</v>
      </c>
      <c r="I115" s="65"/>
      <c r="J115" s="43"/>
      <c r="K115" s="43"/>
      <c r="L115" s="43"/>
      <c r="M115" s="43"/>
      <c r="N115" s="43"/>
      <c r="O115" s="43"/>
      <c r="P115" s="43"/>
      <c r="Q115" s="43"/>
      <c r="R115" s="84" t="s">
        <v>6</v>
      </c>
      <c r="S115" s="65"/>
      <c r="T115" s="46" t="s">
        <v>357</v>
      </c>
      <c r="U115" s="84" t="s">
        <v>1</v>
      </c>
      <c r="V115" s="65"/>
      <c r="W115" s="46" t="s">
        <v>358</v>
      </c>
      <c r="X115" s="82" t="s">
        <v>392</v>
      </c>
      <c r="Y115" s="65"/>
      <c r="Z115" s="43"/>
    </row>
    <row r="116" spans="1:26" ht="37.5" customHeight="1">
      <c r="A116" s="43"/>
      <c r="B116" s="66" t="str">
        <f ca="1">IFERROR(VLOOKUP(R116,Images!$A:$C,3,FALSE),R116)</f>
        <v>Tooth</v>
      </c>
      <c r="C116" s="65"/>
      <c r="D116" s="46" t="s">
        <v>357</v>
      </c>
      <c r="E116" s="66" t="str">
        <f ca="1">IFERROR(VLOOKUP(U116,Images!$A:$C,3,FALSE),"")</f>
        <v/>
      </c>
      <c r="F116" s="65"/>
      <c r="G116" s="46" t="s">
        <v>358</v>
      </c>
      <c r="H116" s="64" t="str">
        <f>IFERROR(VLOOKUP(X116,Images!$A:$C,3,FALSE),X116)</f>
        <v>3 Perks</v>
      </c>
      <c r="I116" s="65"/>
      <c r="J116" s="43"/>
      <c r="K116" s="43"/>
      <c r="L116" s="43"/>
      <c r="M116" s="43"/>
      <c r="N116" s="43"/>
      <c r="O116" s="43"/>
      <c r="P116" s="43"/>
      <c r="Q116" s="43"/>
      <c r="R116" s="84" t="s">
        <v>6</v>
      </c>
      <c r="S116" s="65"/>
      <c r="T116" s="46" t="s">
        <v>357</v>
      </c>
      <c r="U116" s="84" t="s">
        <v>2</v>
      </c>
      <c r="V116" s="65"/>
      <c r="W116" s="46" t="s">
        <v>358</v>
      </c>
      <c r="X116" s="82" t="s">
        <v>62</v>
      </c>
      <c r="Y116" s="65"/>
      <c r="Z116" s="43"/>
    </row>
    <row r="117" spans="1:26" ht="37.5" customHeight="1">
      <c r="A117" s="43"/>
      <c r="B117" s="66" t="str">
        <f ca="1">IFERROR(VLOOKUP(R117,Images!$A:$C,3,FALSE),R117)</f>
        <v>Tooth</v>
      </c>
      <c r="C117" s="65"/>
      <c r="D117" s="46" t="s">
        <v>357</v>
      </c>
      <c r="E117" s="66" t="str">
        <f ca="1">IFERROR(VLOOKUP(U117,Images!$A:$C,3,FALSE),"")</f>
        <v/>
      </c>
      <c r="F117" s="65"/>
      <c r="G117" s="46" t="s">
        <v>358</v>
      </c>
      <c r="H117" s="64" t="str">
        <f>IFERROR(VLOOKUP(X117,Images!$A:$C,3,FALSE),X117)</f>
        <v>Event Equipment
(Mask of Madness)</v>
      </c>
      <c r="I117" s="65"/>
      <c r="J117" s="43"/>
      <c r="K117" s="43"/>
      <c r="L117" s="43"/>
      <c r="M117" s="43"/>
      <c r="N117" s="43"/>
      <c r="O117" s="43"/>
      <c r="P117" s="43"/>
      <c r="Q117" s="43"/>
      <c r="R117" s="84" t="s">
        <v>6</v>
      </c>
      <c r="S117" s="65"/>
      <c r="T117" s="46" t="s">
        <v>357</v>
      </c>
      <c r="U117" s="84" t="s">
        <v>3</v>
      </c>
      <c r="V117" s="65"/>
      <c r="W117" s="46" t="s">
        <v>358</v>
      </c>
      <c r="X117" s="82" t="s">
        <v>401</v>
      </c>
      <c r="Y117" s="65"/>
      <c r="Z117" s="43"/>
    </row>
    <row r="118" spans="1:26" ht="37.5" customHeight="1">
      <c r="A118" s="43"/>
      <c r="B118" s="66" t="str">
        <f ca="1">IFERROR(VLOOKUP(R118,Images!$A:$C,3,FALSE),R118)</f>
        <v>Tooth</v>
      </c>
      <c r="C118" s="65"/>
      <c r="D118" s="46" t="s">
        <v>357</v>
      </c>
      <c r="E118" s="66" t="str">
        <f ca="1">IFERROR(VLOOKUP(U118,Images!$A:$C,3,FALSE),"")</f>
        <v/>
      </c>
      <c r="F118" s="65"/>
      <c r="G118" s="46" t="s">
        <v>358</v>
      </c>
      <c r="H118" s="64" t="str">
        <f>IFERROR(VLOOKUP(X118,Images!$A:$C,3,FALSE),X118)</f>
        <v>6 Shards</v>
      </c>
      <c r="I118" s="65"/>
      <c r="J118" s="43"/>
      <c r="K118" s="43"/>
      <c r="L118" s="43"/>
      <c r="M118" s="43"/>
      <c r="N118" s="43"/>
      <c r="O118" s="43"/>
      <c r="P118" s="43"/>
      <c r="Q118" s="43"/>
      <c r="R118" s="84" t="s">
        <v>6</v>
      </c>
      <c r="S118" s="65"/>
      <c r="T118" s="46" t="s">
        <v>357</v>
      </c>
      <c r="U118" s="84" t="s">
        <v>4</v>
      </c>
      <c r="V118" s="65"/>
      <c r="W118" s="46" t="s">
        <v>358</v>
      </c>
      <c r="X118" s="82" t="s">
        <v>162</v>
      </c>
      <c r="Y118" s="65"/>
      <c r="Z118" s="43"/>
    </row>
    <row r="119" spans="1:26" ht="37.5" customHeight="1">
      <c r="A119" s="43"/>
      <c r="B119" s="66" t="str">
        <f ca="1">IFERROR(VLOOKUP(R119,Images!$A:$C,3,FALSE),R119)</f>
        <v>Tooth</v>
      </c>
      <c r="C119" s="65"/>
      <c r="D119" s="46" t="s">
        <v>357</v>
      </c>
      <c r="E119" s="66" t="str">
        <f ca="1">IFERROR(VLOOKUP(U119,Images!$A:$C,3,FALSE),"")</f>
        <v/>
      </c>
      <c r="F119" s="65"/>
      <c r="G119" s="46" t="s">
        <v>358</v>
      </c>
      <c r="H119" s="64" t="str">
        <f>IFERROR(VLOOKUP(X119,Images!$A:$C,3,FALSE),X119)</f>
        <v>9 Pet Eggs</v>
      </c>
      <c r="I119" s="65"/>
      <c r="J119" s="43"/>
      <c r="K119" s="43"/>
      <c r="L119" s="43"/>
      <c r="M119" s="43"/>
      <c r="N119" s="43"/>
      <c r="O119" s="43"/>
      <c r="P119" s="43"/>
      <c r="Q119" s="43"/>
      <c r="R119" s="84" t="s">
        <v>6</v>
      </c>
      <c r="S119" s="65"/>
      <c r="T119" s="46" t="s">
        <v>357</v>
      </c>
      <c r="U119" s="84" t="s">
        <v>5</v>
      </c>
      <c r="V119" s="65"/>
      <c r="W119" s="46" t="s">
        <v>358</v>
      </c>
      <c r="X119" s="82" t="s">
        <v>411</v>
      </c>
      <c r="Y119" s="65"/>
      <c r="Z119" s="43"/>
    </row>
    <row r="120" spans="1:26" ht="37.5" customHeight="1">
      <c r="A120" s="43"/>
      <c r="B120" s="66" t="str">
        <f ca="1">IFERROR(VLOOKUP(R120,Images!$A:$C,3,FALSE),R120)</f>
        <v>Tooth</v>
      </c>
      <c r="C120" s="65"/>
      <c r="D120" s="46" t="s">
        <v>357</v>
      </c>
      <c r="E120" s="66" t="str">
        <f ca="1">IFERROR(VLOOKUP(U120,Images!$A:$C,3,FALSE),"")</f>
        <v/>
      </c>
      <c r="F120" s="65"/>
      <c r="G120" s="46" t="s">
        <v>358</v>
      </c>
      <c r="H120" s="64" t="str">
        <f>IFERROR(VLOOKUP(X120,Images!$A:$C,3,FALSE),X120)</f>
        <v>66 Currency</v>
      </c>
      <c r="I120" s="65"/>
      <c r="J120" s="43"/>
      <c r="K120" s="43"/>
      <c r="L120" s="43"/>
      <c r="M120" s="43"/>
      <c r="N120" s="43"/>
      <c r="O120" s="43"/>
      <c r="P120" s="43"/>
      <c r="Q120" s="43"/>
      <c r="R120" s="84" t="s">
        <v>6</v>
      </c>
      <c r="S120" s="65"/>
      <c r="T120" s="46" t="s">
        <v>357</v>
      </c>
      <c r="U120" s="84" t="s">
        <v>6</v>
      </c>
      <c r="V120" s="65"/>
      <c r="W120" s="46" t="s">
        <v>358</v>
      </c>
      <c r="X120" s="82" t="s">
        <v>50</v>
      </c>
      <c r="Y120" s="65"/>
      <c r="Z120" s="43"/>
    </row>
    <row r="121" spans="1:26" ht="37.5" customHeight="1">
      <c r="A121" s="43"/>
      <c r="B121" s="66" t="str">
        <f ca="1">IFERROR(VLOOKUP(R121,Images!$A:$C,3,FALSE),R121)</f>
        <v>Tooth</v>
      </c>
      <c r="C121" s="65"/>
      <c r="D121" s="46" t="s">
        <v>357</v>
      </c>
      <c r="E121" s="66" t="str">
        <f ca="1">IFERROR(VLOOKUP(U121,Images!$A:$C,3,FALSE),"")</f>
        <v/>
      </c>
      <c r="F121" s="65"/>
      <c r="G121" s="46" t="s">
        <v>358</v>
      </c>
      <c r="H121" s="64">
        <f>IFERROR(VLOOKUP(X121,Images!$A:$C,3,FALSE),X121)</f>
        <v>0</v>
      </c>
      <c r="I121" s="65"/>
      <c r="J121" s="43"/>
      <c r="K121" s="43"/>
      <c r="L121" s="43"/>
      <c r="M121" s="43"/>
      <c r="N121" s="43"/>
      <c r="O121" s="43"/>
      <c r="P121" s="43"/>
      <c r="Q121" s="43"/>
      <c r="R121" s="84" t="s">
        <v>6</v>
      </c>
      <c r="S121" s="65"/>
      <c r="T121" s="46" t="s">
        <v>357</v>
      </c>
      <c r="U121" s="84" t="s">
        <v>7</v>
      </c>
      <c r="V121" s="65"/>
      <c r="W121" s="46" t="s">
        <v>358</v>
      </c>
      <c r="X121" s="82"/>
      <c r="Y121" s="65"/>
      <c r="Z121" s="43"/>
    </row>
    <row r="122" spans="1:26" ht="37.5" customHeight="1">
      <c r="A122" s="43"/>
      <c r="B122" s="66" t="str">
        <f ca="1">IFERROR(VLOOKUP(R122,Images!$A:$C,3,FALSE),R122)</f>
        <v>Tooth</v>
      </c>
      <c r="C122" s="65"/>
      <c r="D122" s="46" t="s">
        <v>357</v>
      </c>
      <c r="E122" s="66" t="str">
        <f ca="1">IFERROR(VLOOKUP(U122,Images!$A:$C,3,FALSE),"")</f>
        <v/>
      </c>
      <c r="F122" s="65"/>
      <c r="G122" s="46" t="s">
        <v>358</v>
      </c>
      <c r="H122" s="64">
        <f>IFERROR(VLOOKUP(X122,Images!$A:$C,3,FALSE),X122)</f>
        <v>0</v>
      </c>
      <c r="I122" s="65"/>
      <c r="J122" s="43"/>
      <c r="K122" s="43"/>
      <c r="L122" s="43"/>
      <c r="M122" s="43"/>
      <c r="N122" s="43"/>
      <c r="O122" s="43"/>
      <c r="P122" s="43"/>
      <c r="Q122" s="43"/>
      <c r="R122" s="84" t="s">
        <v>6</v>
      </c>
      <c r="S122" s="65"/>
      <c r="T122" s="46" t="s">
        <v>357</v>
      </c>
      <c r="U122" s="84" t="s">
        <v>8</v>
      </c>
      <c r="V122" s="65"/>
      <c r="W122" s="46" t="s">
        <v>358</v>
      </c>
      <c r="X122" s="82"/>
      <c r="Y122" s="65"/>
      <c r="Z122" s="43"/>
    </row>
    <row r="123" spans="1:26" ht="37.5" customHeight="1">
      <c r="A123" s="43"/>
      <c r="B123" s="66" t="str">
        <f ca="1">IFERROR(VLOOKUP(R123,Images!$A:$C,3,FALSE),R123)</f>
        <v>Tooth</v>
      </c>
      <c r="C123" s="65"/>
      <c r="D123" s="46" t="s">
        <v>357</v>
      </c>
      <c r="E123" s="66" t="str">
        <f ca="1">IFERROR(VLOOKUP(U123,Images!$A:$C,3,FALSE),"")</f>
        <v/>
      </c>
      <c r="F123" s="65"/>
      <c r="G123" s="46" t="s">
        <v>358</v>
      </c>
      <c r="H123" s="64" t="str">
        <f>IFERROR(VLOOKUP(X123,Images!$A:$C,3,FALSE),X123)</f>
        <v>Avatar
(110 Currency)</v>
      </c>
      <c r="I123" s="65"/>
      <c r="J123" s="43"/>
      <c r="K123" s="43"/>
      <c r="L123" s="43"/>
      <c r="M123" s="43"/>
      <c r="N123" s="43"/>
      <c r="O123" s="43"/>
      <c r="P123" s="43"/>
      <c r="Q123" s="43"/>
      <c r="R123" s="84" t="s">
        <v>6</v>
      </c>
      <c r="S123" s="65"/>
      <c r="T123" s="46" t="s">
        <v>357</v>
      </c>
      <c r="U123" s="84" t="s">
        <v>9</v>
      </c>
      <c r="V123" s="65"/>
      <c r="W123" s="46" t="s">
        <v>358</v>
      </c>
      <c r="X123" s="82" t="s">
        <v>416</v>
      </c>
      <c r="Y123" s="65"/>
      <c r="Z123" s="43"/>
    </row>
    <row r="124" spans="1:26" ht="37.5" customHeight="1">
      <c r="A124" s="43"/>
      <c r="B124" s="66" t="str">
        <f ca="1">IFERROR(VLOOKUP(R124,Images!$A:$C,3,FALSE),R124)</f>
        <v>Tooth</v>
      </c>
      <c r="C124" s="65"/>
      <c r="D124" s="46" t="s">
        <v>357</v>
      </c>
      <c r="E124" s="66" t="str">
        <f ca="1">IFERROR(VLOOKUP(U124,Images!$A:$C,3,FALSE),"")</f>
        <v/>
      </c>
      <c r="F124" s="65"/>
      <c r="G124" s="46" t="s">
        <v>358</v>
      </c>
      <c r="H124" s="64" t="str">
        <f>IFERROR(VLOOKUP(X124,Images!$A:$C,3,FALSE),X124)</f>
        <v>112 Currency</v>
      </c>
      <c r="I124" s="65"/>
      <c r="J124" s="43"/>
      <c r="K124" s="43"/>
      <c r="L124" s="43"/>
      <c r="M124" s="43"/>
      <c r="N124" s="43"/>
      <c r="O124" s="43"/>
      <c r="P124" s="43"/>
      <c r="Q124" s="43"/>
      <c r="R124" s="84" t="s">
        <v>6</v>
      </c>
      <c r="S124" s="65"/>
      <c r="T124" s="46" t="s">
        <v>357</v>
      </c>
      <c r="U124" s="84" t="s">
        <v>10</v>
      </c>
      <c r="V124" s="65"/>
      <c r="W124" s="46" t="s">
        <v>358</v>
      </c>
      <c r="X124" s="82" t="s">
        <v>247</v>
      </c>
      <c r="Y124" s="65"/>
      <c r="Z124" s="43"/>
    </row>
    <row r="125" spans="1:26" ht="37.5" customHeight="1">
      <c r="A125" s="43"/>
      <c r="B125" s="66" t="str">
        <f ca="1">IFERROR(VLOOKUP(R125,Images!$A:$C,3,FALSE),R125)</f>
        <v>Tooth</v>
      </c>
      <c r="C125" s="65"/>
      <c r="D125" s="46" t="s">
        <v>357</v>
      </c>
      <c r="E125" s="66" t="str">
        <f ca="1">IFERROR(VLOOKUP(U125,Images!$A:$C,3,FALSE),"")</f>
        <v/>
      </c>
      <c r="F125" s="65"/>
      <c r="G125" s="46" t="s">
        <v>358</v>
      </c>
      <c r="H125" s="64" t="str">
        <f>IFERROR(VLOOKUP(X125,Images!$A:$C,3,FALSE),X125)</f>
        <v>14 Shards</v>
      </c>
      <c r="I125" s="65"/>
      <c r="J125" s="43"/>
      <c r="K125" s="43"/>
      <c r="L125" s="43"/>
      <c r="M125" s="43"/>
      <c r="N125" s="43"/>
      <c r="O125" s="43"/>
      <c r="P125" s="43"/>
      <c r="Q125" s="43"/>
      <c r="R125" s="84" t="s">
        <v>6</v>
      </c>
      <c r="S125" s="65"/>
      <c r="T125" s="46" t="s">
        <v>357</v>
      </c>
      <c r="U125" s="84" t="s">
        <v>11</v>
      </c>
      <c r="V125" s="65"/>
      <c r="W125" s="46" t="s">
        <v>358</v>
      </c>
      <c r="X125" s="82" t="s">
        <v>417</v>
      </c>
      <c r="Y125" s="65"/>
      <c r="Z125" s="43"/>
    </row>
    <row r="126" spans="1:26" ht="37.5" customHeight="1">
      <c r="A126" s="43"/>
      <c r="B126" s="66" t="str">
        <f ca="1">IFERROR(VLOOKUP(R126,Images!$A:$C,3,FALSE),R126)</f>
        <v>Tooth</v>
      </c>
      <c r="C126" s="65"/>
      <c r="D126" s="46" t="s">
        <v>357</v>
      </c>
      <c r="E126" s="66" t="str">
        <f ca="1">IFERROR(VLOOKUP(U126,Images!$A:$C,3,FALSE),"")</f>
        <v/>
      </c>
      <c r="F126" s="65"/>
      <c r="G126" s="46" t="s">
        <v>358</v>
      </c>
      <c r="H126" s="64" t="str">
        <f>IFERROR(VLOOKUP(X126,Images!$A:$C,3,FALSE),X126)</f>
        <v>122 Currency</v>
      </c>
      <c r="I126" s="65"/>
      <c r="J126" s="43"/>
      <c r="K126" s="43"/>
      <c r="L126" s="43"/>
      <c r="M126" s="43"/>
      <c r="N126" s="43"/>
      <c r="O126" s="43"/>
      <c r="P126" s="43"/>
      <c r="Q126" s="43"/>
      <c r="R126" s="84" t="s">
        <v>6</v>
      </c>
      <c r="S126" s="65"/>
      <c r="T126" s="46" t="s">
        <v>357</v>
      </c>
      <c r="U126" s="84" t="s">
        <v>12</v>
      </c>
      <c r="V126" s="65"/>
      <c r="W126" s="46" t="s">
        <v>358</v>
      </c>
      <c r="X126" s="82" t="s">
        <v>67</v>
      </c>
      <c r="Y126" s="65"/>
      <c r="Z126" s="43"/>
    </row>
    <row r="127" spans="1:26" ht="37.5" customHeight="1">
      <c r="A127" s="43"/>
      <c r="B127" s="66" t="str">
        <f ca="1">IFERROR(VLOOKUP(R127,Images!$A:$C,3,FALSE),R127)</f>
        <v>Tooth</v>
      </c>
      <c r="C127" s="65"/>
      <c r="D127" s="46" t="s">
        <v>357</v>
      </c>
      <c r="E127" s="66" t="str">
        <f ca="1">IFERROR(VLOOKUP(U127,Images!$A:$C,3,FALSE),"")</f>
        <v/>
      </c>
      <c r="F127" s="65"/>
      <c r="G127" s="46" t="s">
        <v>358</v>
      </c>
      <c r="H127" s="64" t="str">
        <f>IFERROR(VLOOKUP(X127,Images!$A:$C,3,FALSE),X127)</f>
        <v>16 Shards</v>
      </c>
      <c r="I127" s="65"/>
      <c r="J127" s="43"/>
      <c r="K127" s="43"/>
      <c r="L127" s="43"/>
      <c r="M127" s="43"/>
      <c r="N127" s="43"/>
      <c r="O127" s="43"/>
      <c r="P127" s="43"/>
      <c r="Q127" s="43"/>
      <c r="R127" s="84" t="s">
        <v>6</v>
      </c>
      <c r="S127" s="65"/>
      <c r="T127" s="46" t="s">
        <v>357</v>
      </c>
      <c r="U127" s="84" t="s">
        <v>13</v>
      </c>
      <c r="V127" s="65"/>
      <c r="W127" s="46" t="s">
        <v>358</v>
      </c>
      <c r="X127" s="82" t="s">
        <v>418</v>
      </c>
      <c r="Y127" s="65"/>
      <c r="Z127" s="43"/>
    </row>
    <row r="128" spans="1:26" ht="37.5" customHeight="1">
      <c r="A128" s="43"/>
      <c r="B128" s="43"/>
      <c r="C128" s="43"/>
      <c r="D128" s="43"/>
      <c r="E128" s="43"/>
      <c r="F128" s="43"/>
      <c r="G128" s="43"/>
      <c r="H128" s="67" t="str">
        <f>HYPERLINK("https://docs.google.com/spreadsheets/d/1o95Ipwx6NIyFV3LCz9LGNbH9_WELHF-pbpkM31YwXyY/edit#gid=0&amp;range=A1","Back to Top")</f>
        <v>Back to Top</v>
      </c>
      <c r="I128" s="65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83" t="s">
        <v>440</v>
      </c>
      <c r="Y128" s="65"/>
      <c r="Z128" s="43"/>
    </row>
    <row r="129" spans="1:26" ht="37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37.5" customHeight="1">
      <c r="A130" s="43"/>
      <c r="B130" s="68" t="str">
        <f>R130</f>
        <v>Flame Recipes</v>
      </c>
      <c r="C130" s="69"/>
      <c r="D130" s="69"/>
      <c r="E130" s="69"/>
      <c r="F130" s="69"/>
      <c r="G130" s="69"/>
      <c r="H130" s="69"/>
      <c r="I130" s="65"/>
      <c r="J130" s="43"/>
      <c r="K130" s="43"/>
      <c r="L130" s="43"/>
      <c r="M130" s="43"/>
      <c r="N130" s="43"/>
      <c r="O130" s="43"/>
      <c r="P130" s="43"/>
      <c r="Q130" s="43"/>
      <c r="R130" s="85" t="s">
        <v>447</v>
      </c>
      <c r="S130" s="69"/>
      <c r="T130" s="69"/>
      <c r="U130" s="69"/>
      <c r="V130" s="69"/>
      <c r="W130" s="69"/>
      <c r="X130" s="69"/>
      <c r="Y130" s="65"/>
      <c r="Z130" s="43"/>
    </row>
    <row r="131" spans="1:26" ht="37.5" customHeight="1">
      <c r="A131" s="43"/>
      <c r="B131" s="66" t="str">
        <f ca="1">IFERROR(VLOOKUP(R131,Images!$A:$C,3,FALSE),R131)</f>
        <v>Flame</v>
      </c>
      <c r="C131" s="65"/>
      <c r="D131" s="46" t="s">
        <v>357</v>
      </c>
      <c r="E131" s="66" t="str">
        <f ca="1">IFERROR(VLOOKUP(U131,Images!$A:$C,3,FALSE),"")</f>
        <v/>
      </c>
      <c r="F131" s="65"/>
      <c r="G131" s="46" t="s">
        <v>358</v>
      </c>
      <c r="H131" s="64" t="str">
        <f>IFERROR(VLOOKUP(X131,Images!$A:$C,3,FALSE),X131)</f>
        <v>430 Dust</v>
      </c>
      <c r="I131" s="65"/>
      <c r="J131" s="43"/>
      <c r="K131" s="43"/>
      <c r="L131" s="43"/>
      <c r="M131" s="43"/>
      <c r="N131" s="43"/>
      <c r="O131" s="43"/>
      <c r="P131" s="43"/>
      <c r="Q131" s="43"/>
      <c r="R131" s="84" t="s">
        <v>7</v>
      </c>
      <c r="S131" s="65"/>
      <c r="T131" s="46" t="s">
        <v>357</v>
      </c>
      <c r="U131" s="84" t="s">
        <v>0</v>
      </c>
      <c r="V131" s="65"/>
      <c r="W131" s="46" t="s">
        <v>358</v>
      </c>
      <c r="X131" s="82" t="s">
        <v>389</v>
      </c>
      <c r="Y131" s="65"/>
      <c r="Z131" s="43"/>
    </row>
    <row r="132" spans="1:26" ht="37.5" customHeight="1">
      <c r="A132" s="43"/>
      <c r="B132" s="66" t="str">
        <f ca="1">IFERROR(VLOOKUP(R132,Images!$A:$C,3,FALSE),R132)</f>
        <v>Flame</v>
      </c>
      <c r="C132" s="65"/>
      <c r="D132" s="46" t="s">
        <v>357</v>
      </c>
      <c r="E132" s="66" t="str">
        <f ca="1">IFERROR(VLOOKUP(U132,Images!$A:$C,3,FALSE),"")</f>
        <v/>
      </c>
      <c r="F132" s="65"/>
      <c r="G132" s="46" t="s">
        <v>358</v>
      </c>
      <c r="H132" s="64" t="str">
        <f>IFERROR(VLOOKUP(X132,Images!$A:$C,3,FALSE),X132)</f>
        <v>43 Currency</v>
      </c>
      <c r="I132" s="65"/>
      <c r="J132" s="43"/>
      <c r="K132" s="43"/>
      <c r="L132" s="43"/>
      <c r="M132" s="43"/>
      <c r="N132" s="43"/>
      <c r="O132" s="43"/>
      <c r="P132" s="43"/>
      <c r="Q132" s="43"/>
      <c r="R132" s="84" t="s">
        <v>7</v>
      </c>
      <c r="S132" s="65"/>
      <c r="T132" s="46" t="s">
        <v>357</v>
      </c>
      <c r="U132" s="84" t="s">
        <v>1</v>
      </c>
      <c r="V132" s="65"/>
      <c r="W132" s="46" t="s">
        <v>358</v>
      </c>
      <c r="X132" s="82" t="s">
        <v>393</v>
      </c>
      <c r="Y132" s="65"/>
      <c r="Z132" s="43"/>
    </row>
    <row r="133" spans="1:26" ht="37.5" customHeight="1">
      <c r="A133" s="43"/>
      <c r="B133" s="66" t="str">
        <f ca="1">IFERROR(VLOOKUP(R133,Images!$A:$C,3,FALSE),R133)</f>
        <v>Flame</v>
      </c>
      <c r="C133" s="65"/>
      <c r="D133" s="46" t="s">
        <v>357</v>
      </c>
      <c r="E133" s="66" t="str">
        <f ca="1">IFERROR(VLOOKUP(U133,Images!$A:$C,3,FALSE),"")</f>
        <v/>
      </c>
      <c r="F133" s="65"/>
      <c r="G133" s="46" t="s">
        <v>358</v>
      </c>
      <c r="H133" s="64" t="str">
        <f>IFERROR(VLOOKUP(X133,Images!$A:$C,3,FALSE),X133)</f>
        <v>5 Perks</v>
      </c>
      <c r="I133" s="65"/>
      <c r="J133" s="43"/>
      <c r="K133" s="43"/>
      <c r="L133" s="43"/>
      <c r="M133" s="43"/>
      <c r="N133" s="43"/>
      <c r="O133" s="43"/>
      <c r="P133" s="43"/>
      <c r="Q133" s="43"/>
      <c r="R133" s="84" t="s">
        <v>7</v>
      </c>
      <c r="S133" s="65"/>
      <c r="T133" s="46" t="s">
        <v>357</v>
      </c>
      <c r="U133" s="84" t="s">
        <v>2</v>
      </c>
      <c r="V133" s="65"/>
      <c r="W133" s="46" t="s">
        <v>358</v>
      </c>
      <c r="X133" s="82" t="s">
        <v>264</v>
      </c>
      <c r="Y133" s="65"/>
      <c r="Z133" s="43"/>
    </row>
    <row r="134" spans="1:26" ht="37.5" customHeight="1">
      <c r="A134" s="43"/>
      <c r="B134" s="66" t="str">
        <f ca="1">IFERROR(VLOOKUP(R134,Images!$A:$C,3,FALSE),R134)</f>
        <v>Flame</v>
      </c>
      <c r="C134" s="65"/>
      <c r="D134" s="46" t="s">
        <v>357</v>
      </c>
      <c r="E134" s="66" t="str">
        <f ca="1">IFERROR(VLOOKUP(U134,Images!$A:$C,3,FALSE),"")</f>
        <v/>
      </c>
      <c r="F134" s="65"/>
      <c r="G134" s="46" t="s">
        <v>358</v>
      </c>
      <c r="H134" s="64" t="str">
        <f>IFERROR(VLOOKUP(X134,Images!$A:$C,3,FALSE),X134)</f>
        <v>Event Equipment (Lab Coat)</v>
      </c>
      <c r="I134" s="65"/>
      <c r="J134" s="43"/>
      <c r="K134" s="43"/>
      <c r="L134" s="43"/>
      <c r="M134" s="43"/>
      <c r="N134" s="43"/>
      <c r="O134" s="43"/>
      <c r="P134" s="43"/>
      <c r="Q134" s="43"/>
      <c r="R134" s="84" t="s">
        <v>7</v>
      </c>
      <c r="S134" s="65"/>
      <c r="T134" s="46" t="s">
        <v>357</v>
      </c>
      <c r="U134" s="84" t="s">
        <v>3</v>
      </c>
      <c r="V134" s="65"/>
      <c r="W134" s="46" t="s">
        <v>358</v>
      </c>
      <c r="X134" s="82" t="s">
        <v>34</v>
      </c>
      <c r="Y134" s="65"/>
      <c r="Z134" s="43"/>
    </row>
    <row r="135" spans="1:26" ht="37.5" customHeight="1">
      <c r="A135" s="43"/>
      <c r="B135" s="66" t="str">
        <f ca="1">IFERROR(VLOOKUP(R135,Images!$A:$C,3,FALSE),R135)</f>
        <v>Flame</v>
      </c>
      <c r="C135" s="65"/>
      <c r="D135" s="46" t="s">
        <v>357</v>
      </c>
      <c r="E135" s="66" t="str">
        <f ca="1">IFERROR(VLOOKUP(U135,Images!$A:$C,3,FALSE),"")</f>
        <v/>
      </c>
      <c r="F135" s="65"/>
      <c r="G135" s="46" t="s">
        <v>358</v>
      </c>
      <c r="H135" s="64" t="str">
        <f>IFERROR(VLOOKUP(X135,Images!$A:$C,3,FALSE),X135)</f>
        <v>590 Dust</v>
      </c>
      <c r="I135" s="65"/>
      <c r="J135" s="43"/>
      <c r="K135" s="43"/>
      <c r="L135" s="43"/>
      <c r="M135" s="43"/>
      <c r="N135" s="43"/>
      <c r="O135" s="43"/>
      <c r="P135" s="43"/>
      <c r="Q135" s="43"/>
      <c r="R135" s="84" t="s">
        <v>7</v>
      </c>
      <c r="S135" s="65"/>
      <c r="T135" s="46" t="s">
        <v>357</v>
      </c>
      <c r="U135" s="84" t="s">
        <v>4</v>
      </c>
      <c r="V135" s="65"/>
      <c r="W135" s="46" t="s">
        <v>358</v>
      </c>
      <c r="X135" s="82" t="s">
        <v>407</v>
      </c>
      <c r="Y135" s="65"/>
      <c r="Z135" s="43"/>
    </row>
    <row r="136" spans="1:26" ht="37.5" customHeight="1">
      <c r="A136" s="43"/>
      <c r="B136" s="66" t="str">
        <f ca="1">IFERROR(VLOOKUP(R136,Images!$A:$C,3,FALSE),R136)</f>
        <v>Flame</v>
      </c>
      <c r="C136" s="65"/>
      <c r="D136" s="46" t="s">
        <v>357</v>
      </c>
      <c r="E136" s="66" t="str">
        <f ca="1">IFERROR(VLOOKUP(U136,Images!$A:$C,3,FALSE),"")</f>
        <v/>
      </c>
      <c r="F136" s="65"/>
      <c r="G136" s="46" t="s">
        <v>358</v>
      </c>
      <c r="H136" s="64" t="str">
        <f>IFERROR(VLOOKUP(X136,Images!$A:$C,3,FALSE),X136)</f>
        <v>590 Dust</v>
      </c>
      <c r="I136" s="65"/>
      <c r="J136" s="43"/>
      <c r="K136" s="43"/>
      <c r="L136" s="43"/>
      <c r="M136" s="43"/>
      <c r="N136" s="43"/>
      <c r="O136" s="43"/>
      <c r="P136" s="43"/>
      <c r="Q136" s="43"/>
      <c r="R136" s="84" t="s">
        <v>7</v>
      </c>
      <c r="S136" s="65"/>
      <c r="T136" s="46" t="s">
        <v>357</v>
      </c>
      <c r="U136" s="84" t="s">
        <v>5</v>
      </c>
      <c r="V136" s="65"/>
      <c r="W136" s="46" t="s">
        <v>358</v>
      </c>
      <c r="X136" s="82" t="s">
        <v>407</v>
      </c>
      <c r="Y136" s="65"/>
      <c r="Z136" s="43"/>
    </row>
    <row r="137" spans="1:26" ht="37.5" customHeight="1">
      <c r="A137" s="43"/>
      <c r="B137" s="66" t="str">
        <f ca="1">IFERROR(VLOOKUP(R137,Images!$A:$C,3,FALSE),R137)</f>
        <v>Flame</v>
      </c>
      <c r="C137" s="65"/>
      <c r="D137" s="46" t="s">
        <v>357</v>
      </c>
      <c r="E137" s="66" t="str">
        <f ca="1">IFERROR(VLOOKUP(U137,Images!$A:$C,3,FALSE),"")</f>
        <v/>
      </c>
      <c r="F137" s="65"/>
      <c r="G137" s="46" t="s">
        <v>358</v>
      </c>
      <c r="H137" s="64">
        <f>IFERROR(VLOOKUP(X137,Images!$A:$C,3,FALSE),X137)</f>
        <v>0</v>
      </c>
      <c r="I137" s="65"/>
      <c r="J137" s="43"/>
      <c r="K137" s="43"/>
      <c r="L137" s="43"/>
      <c r="M137" s="43"/>
      <c r="N137" s="43"/>
      <c r="O137" s="43"/>
      <c r="P137" s="43"/>
      <c r="Q137" s="43"/>
      <c r="R137" s="84" t="s">
        <v>7</v>
      </c>
      <c r="S137" s="65"/>
      <c r="T137" s="46" t="s">
        <v>357</v>
      </c>
      <c r="U137" s="84" t="s">
        <v>6</v>
      </c>
      <c r="V137" s="65"/>
      <c r="W137" s="46" t="s">
        <v>358</v>
      </c>
      <c r="X137" s="82"/>
      <c r="Y137" s="65"/>
      <c r="Z137" s="43"/>
    </row>
    <row r="138" spans="1:26" ht="37.5" customHeight="1">
      <c r="A138" s="43"/>
      <c r="B138" s="66" t="str">
        <f ca="1">IFERROR(VLOOKUP(R138,Images!$A:$C,3,FALSE),R138)</f>
        <v>Flame</v>
      </c>
      <c r="C138" s="65"/>
      <c r="D138" s="46" t="s">
        <v>357</v>
      </c>
      <c r="E138" s="66" t="str">
        <f ca="1">IFERROR(VLOOKUP(U138,Images!$A:$C,3,FALSE),"")</f>
        <v/>
      </c>
      <c r="F138" s="65"/>
      <c r="G138" s="46" t="s">
        <v>358</v>
      </c>
      <c r="H138" s="64" t="str">
        <f>IFERROR(VLOOKUP(X138,Images!$A:$C,3,FALSE),X138)</f>
        <v>76 Currency</v>
      </c>
      <c r="I138" s="65"/>
      <c r="J138" s="43"/>
      <c r="K138" s="43"/>
      <c r="L138" s="43"/>
      <c r="M138" s="43"/>
      <c r="N138" s="43"/>
      <c r="O138" s="43"/>
      <c r="P138" s="43"/>
      <c r="Q138" s="43"/>
      <c r="R138" s="84" t="s">
        <v>7</v>
      </c>
      <c r="S138" s="65"/>
      <c r="T138" s="46" t="s">
        <v>357</v>
      </c>
      <c r="U138" s="84" t="s">
        <v>7</v>
      </c>
      <c r="V138" s="65"/>
      <c r="W138" s="46" t="s">
        <v>358</v>
      </c>
      <c r="X138" s="82" t="s">
        <v>109</v>
      </c>
      <c r="Y138" s="65"/>
      <c r="Z138" s="43"/>
    </row>
    <row r="139" spans="1:26" ht="37.5" customHeight="1">
      <c r="A139" s="43"/>
      <c r="B139" s="66" t="str">
        <f ca="1">IFERROR(VLOOKUP(R139,Images!$A:$C,3,FALSE),R139)</f>
        <v>Flame</v>
      </c>
      <c r="C139" s="65"/>
      <c r="D139" s="46" t="s">
        <v>357</v>
      </c>
      <c r="E139" s="66" t="str">
        <f ca="1">IFERROR(VLOOKUP(U139,Images!$A:$C,3,FALSE),"")</f>
        <v/>
      </c>
      <c r="F139" s="65"/>
      <c r="G139" s="46" t="s">
        <v>358</v>
      </c>
      <c r="H139" s="64">
        <f>IFERROR(VLOOKUP(X139,Images!$A:$C,3,FALSE),X139)</f>
        <v>0</v>
      </c>
      <c r="I139" s="65"/>
      <c r="J139" s="43"/>
      <c r="K139" s="43"/>
      <c r="L139" s="43"/>
      <c r="M139" s="43"/>
      <c r="N139" s="43"/>
      <c r="O139" s="43"/>
      <c r="P139" s="43"/>
      <c r="Q139" s="43"/>
      <c r="R139" s="84" t="s">
        <v>7</v>
      </c>
      <c r="S139" s="65"/>
      <c r="T139" s="46" t="s">
        <v>357</v>
      </c>
      <c r="U139" s="84" t="s">
        <v>8</v>
      </c>
      <c r="V139" s="65"/>
      <c r="W139" s="46" t="s">
        <v>358</v>
      </c>
      <c r="X139" s="82"/>
      <c r="Y139" s="65"/>
      <c r="Z139" s="43"/>
    </row>
    <row r="140" spans="1:26" ht="37.5" customHeight="1">
      <c r="A140" s="43"/>
      <c r="B140" s="66" t="str">
        <f ca="1">IFERROR(VLOOKUP(R140,Images!$A:$C,3,FALSE),R140)</f>
        <v>Flame</v>
      </c>
      <c r="C140" s="65"/>
      <c r="D140" s="46" t="s">
        <v>357</v>
      </c>
      <c r="E140" s="66" t="str">
        <f ca="1">IFERROR(VLOOKUP(U140,Images!$A:$C,3,FALSE),"")</f>
        <v/>
      </c>
      <c r="F140" s="65"/>
      <c r="G140" s="46" t="s">
        <v>358</v>
      </c>
      <c r="H140" s="64" t="str">
        <f>IFERROR(VLOOKUP(X140,Images!$A:$C,3,FALSE),X140)</f>
        <v>115 Currency</v>
      </c>
      <c r="I140" s="65"/>
      <c r="J140" s="43"/>
      <c r="K140" s="43"/>
      <c r="L140" s="43"/>
      <c r="M140" s="43"/>
      <c r="N140" s="43"/>
      <c r="O140" s="43"/>
      <c r="P140" s="43"/>
      <c r="Q140" s="43"/>
      <c r="R140" s="84" t="s">
        <v>7</v>
      </c>
      <c r="S140" s="65"/>
      <c r="T140" s="46" t="s">
        <v>357</v>
      </c>
      <c r="U140" s="84" t="s">
        <v>9</v>
      </c>
      <c r="V140" s="65"/>
      <c r="W140" s="46" t="s">
        <v>358</v>
      </c>
      <c r="X140" s="82" t="s">
        <v>419</v>
      </c>
      <c r="Y140" s="65"/>
      <c r="Z140" s="43"/>
    </row>
    <row r="141" spans="1:26" ht="37.5" customHeight="1">
      <c r="A141" s="43"/>
      <c r="B141" s="66" t="str">
        <f ca="1">IFERROR(VLOOKUP(R141,Images!$A:$C,3,FALSE),R141)</f>
        <v>Flame</v>
      </c>
      <c r="C141" s="65"/>
      <c r="D141" s="46" t="s">
        <v>357</v>
      </c>
      <c r="E141" s="66" t="str">
        <f ca="1">IFERROR(VLOOKUP(U141,Images!$A:$C,3,FALSE),"")</f>
        <v/>
      </c>
      <c r="F141" s="65"/>
      <c r="G141" s="46" t="s">
        <v>358</v>
      </c>
      <c r="H141" s="64" t="str">
        <f>IFERROR(VLOOKUP(X141,Images!$A:$C,3,FALSE),X141)</f>
        <v>1170 Dust</v>
      </c>
      <c r="I141" s="65"/>
      <c r="J141" s="43"/>
      <c r="K141" s="43"/>
      <c r="L141" s="43"/>
      <c r="M141" s="43"/>
      <c r="N141" s="43"/>
      <c r="O141" s="43"/>
      <c r="P141" s="43"/>
      <c r="Q141" s="43"/>
      <c r="R141" s="84" t="s">
        <v>7</v>
      </c>
      <c r="S141" s="65"/>
      <c r="T141" s="46" t="s">
        <v>357</v>
      </c>
      <c r="U141" s="84" t="s">
        <v>10</v>
      </c>
      <c r="V141" s="65"/>
      <c r="W141" s="46" t="s">
        <v>358</v>
      </c>
      <c r="X141" s="82" t="s">
        <v>420</v>
      </c>
      <c r="Y141" s="65"/>
      <c r="Z141" s="43"/>
    </row>
    <row r="142" spans="1:26" ht="37.5" customHeight="1">
      <c r="A142" s="43"/>
      <c r="B142" s="66" t="str">
        <f ca="1">IFERROR(VLOOKUP(R142,Images!$A:$C,3,FALSE),R142)</f>
        <v>Flame</v>
      </c>
      <c r="C142" s="65"/>
      <c r="D142" s="46" t="s">
        <v>357</v>
      </c>
      <c r="E142" s="66" t="str">
        <f ca="1">IFERROR(VLOOKUP(U142,Images!$A:$C,3,FALSE),"")</f>
        <v/>
      </c>
      <c r="F142" s="65"/>
      <c r="G142" s="46" t="s">
        <v>358</v>
      </c>
      <c r="H142" s="64" t="str">
        <f>IFERROR(VLOOKUP(X142,Images!$A:$C,3,FALSE),X142)</f>
        <v>1 Skill Point</v>
      </c>
      <c r="I142" s="65"/>
      <c r="J142" s="43"/>
      <c r="K142" s="43"/>
      <c r="L142" s="43"/>
      <c r="M142" s="43"/>
      <c r="N142" s="43"/>
      <c r="O142" s="43"/>
      <c r="P142" s="43"/>
      <c r="Q142" s="43"/>
      <c r="R142" s="84" t="s">
        <v>7</v>
      </c>
      <c r="S142" s="65"/>
      <c r="T142" s="46" t="s">
        <v>357</v>
      </c>
      <c r="U142" s="84" t="s">
        <v>11</v>
      </c>
      <c r="V142" s="65"/>
      <c r="W142" s="46" t="s">
        <v>358</v>
      </c>
      <c r="X142" s="82" t="s">
        <v>106</v>
      </c>
      <c r="Y142" s="65"/>
      <c r="Z142" s="43"/>
    </row>
    <row r="143" spans="1:26" ht="37.5" customHeight="1">
      <c r="A143" s="43"/>
      <c r="B143" s="66" t="str">
        <f ca="1">IFERROR(VLOOKUP(R143,Images!$A:$C,3,FALSE),R143)</f>
        <v>Flame</v>
      </c>
      <c r="C143" s="65"/>
      <c r="D143" s="46" t="s">
        <v>357</v>
      </c>
      <c r="E143" s="66" t="str">
        <f ca="1">IFERROR(VLOOKUP(U143,Images!$A:$C,3,FALSE),"")</f>
        <v/>
      </c>
      <c r="F143" s="65"/>
      <c r="G143" s="46" t="s">
        <v>358</v>
      </c>
      <c r="H143" s="64" t="str">
        <f>IFERROR(VLOOKUP(X143,Images!$A:$C,3,FALSE),X143)</f>
        <v>1270 Dust</v>
      </c>
      <c r="I143" s="65"/>
      <c r="J143" s="43"/>
      <c r="K143" s="43"/>
      <c r="L143" s="43"/>
      <c r="M143" s="43"/>
      <c r="N143" s="43"/>
      <c r="O143" s="43"/>
      <c r="P143" s="43"/>
      <c r="Q143" s="43"/>
      <c r="R143" s="84" t="s">
        <v>7</v>
      </c>
      <c r="S143" s="65"/>
      <c r="T143" s="46" t="s">
        <v>357</v>
      </c>
      <c r="U143" s="84" t="s">
        <v>12</v>
      </c>
      <c r="V143" s="65"/>
      <c r="W143" s="46" t="s">
        <v>358</v>
      </c>
      <c r="X143" s="82" t="s">
        <v>421</v>
      </c>
      <c r="Y143" s="65"/>
      <c r="Z143" s="43"/>
    </row>
    <row r="144" spans="1:26" ht="37.5" customHeight="1">
      <c r="A144" s="43"/>
      <c r="B144" s="66" t="str">
        <f ca="1">IFERROR(VLOOKUP(R144,Images!$A:$C,3,FALSE),R144)</f>
        <v>Flame</v>
      </c>
      <c r="C144" s="65"/>
      <c r="D144" s="46" t="s">
        <v>357</v>
      </c>
      <c r="E144" s="66" t="str">
        <f ca="1">IFERROR(VLOOKUP(U144,Images!$A:$C,3,FALSE),"")</f>
        <v/>
      </c>
      <c r="F144" s="65"/>
      <c r="G144" s="46" t="s">
        <v>358</v>
      </c>
      <c r="H144" s="64" t="str">
        <f>IFERROR(VLOOKUP(X144,Images!$A:$C,3,FALSE),X144)</f>
        <v>133 Currency</v>
      </c>
      <c r="I144" s="65"/>
      <c r="J144" s="43"/>
      <c r="K144" s="43"/>
      <c r="L144" s="43"/>
      <c r="M144" s="43"/>
      <c r="N144" s="43"/>
      <c r="O144" s="43"/>
      <c r="P144" s="43"/>
      <c r="Q144" s="43"/>
      <c r="R144" s="84" t="s">
        <v>7</v>
      </c>
      <c r="S144" s="65"/>
      <c r="T144" s="46" t="s">
        <v>357</v>
      </c>
      <c r="U144" s="84" t="s">
        <v>13</v>
      </c>
      <c r="V144" s="65"/>
      <c r="W144" s="46" t="s">
        <v>358</v>
      </c>
      <c r="X144" s="82" t="s">
        <v>301</v>
      </c>
      <c r="Y144" s="65"/>
      <c r="Z144" s="43"/>
    </row>
    <row r="145" spans="1:26" ht="37.5" customHeight="1">
      <c r="A145" s="43"/>
      <c r="B145" s="43"/>
      <c r="C145" s="43"/>
      <c r="D145" s="43"/>
      <c r="E145" s="43"/>
      <c r="F145" s="43"/>
      <c r="G145" s="43"/>
      <c r="H145" s="67" t="str">
        <f>HYPERLINK("https://docs.google.com/spreadsheets/d/1o95Ipwx6NIyFV3LCz9LGNbH9_WELHF-pbpkM31YwXyY/edit#gid=0&amp;range=A1","Back to Top")</f>
        <v>Back to Top</v>
      </c>
      <c r="I145" s="65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83" t="s">
        <v>440</v>
      </c>
      <c r="Y145" s="65"/>
      <c r="Z145" s="43"/>
    </row>
    <row r="146" spans="1:26" ht="37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37.5" customHeight="1">
      <c r="A147" s="43"/>
      <c r="B147" s="68" t="str">
        <f>R147</f>
        <v>Steel Recipes</v>
      </c>
      <c r="C147" s="69"/>
      <c r="D147" s="69"/>
      <c r="E147" s="69"/>
      <c r="F147" s="69"/>
      <c r="G147" s="69"/>
      <c r="H147" s="69"/>
      <c r="I147" s="65"/>
      <c r="J147" s="43"/>
      <c r="K147" s="43"/>
      <c r="L147" s="43"/>
      <c r="M147" s="43"/>
      <c r="N147" s="43"/>
      <c r="O147" s="43"/>
      <c r="P147" s="43"/>
      <c r="Q147" s="43"/>
      <c r="R147" s="85" t="s">
        <v>448</v>
      </c>
      <c r="S147" s="69"/>
      <c r="T147" s="69"/>
      <c r="U147" s="69"/>
      <c r="V147" s="69"/>
      <c r="W147" s="69"/>
      <c r="X147" s="69"/>
      <c r="Y147" s="65"/>
      <c r="Z147" s="43"/>
    </row>
    <row r="148" spans="1:26" ht="37.5" customHeight="1">
      <c r="A148" s="43"/>
      <c r="B148" s="66" t="str">
        <f ca="1">IFERROR(VLOOKUP(R148,Images!$A:$C,3,FALSE),R148)</f>
        <v>Steel</v>
      </c>
      <c r="C148" s="65"/>
      <c r="D148" s="46" t="s">
        <v>357</v>
      </c>
      <c r="E148" s="66" t="str">
        <f ca="1">IFERROR(VLOOKUP(U148,Images!$A:$C,3,FALSE),"")</f>
        <v/>
      </c>
      <c r="F148" s="65"/>
      <c r="G148" s="46" t="s">
        <v>358</v>
      </c>
      <c r="H148" s="64" t="str">
        <f>IFERROR(VLOOKUP(X148,Images!$A:$C,3,FALSE),X148)</f>
        <v>49 Currency</v>
      </c>
      <c r="I148" s="65"/>
      <c r="J148" s="43"/>
      <c r="K148" s="43"/>
      <c r="L148" s="43"/>
      <c r="M148" s="43"/>
      <c r="N148" s="43"/>
      <c r="O148" s="43"/>
      <c r="P148" s="43"/>
      <c r="Q148" s="43"/>
      <c r="R148" s="84" t="s">
        <v>8</v>
      </c>
      <c r="S148" s="65"/>
      <c r="T148" s="46" t="s">
        <v>357</v>
      </c>
      <c r="U148" s="84" t="s">
        <v>0</v>
      </c>
      <c r="V148" s="65"/>
      <c r="W148" s="46" t="s">
        <v>358</v>
      </c>
      <c r="X148" s="82" t="s">
        <v>170</v>
      </c>
      <c r="Y148" s="65"/>
      <c r="Z148" s="43"/>
    </row>
    <row r="149" spans="1:26" ht="37.5" customHeight="1">
      <c r="A149" s="43"/>
      <c r="B149" s="66" t="str">
        <f ca="1">IFERROR(VLOOKUP(R149,Images!$A:$C,3,FALSE),R149)</f>
        <v>Steel</v>
      </c>
      <c r="C149" s="65"/>
      <c r="D149" s="46" t="s">
        <v>357</v>
      </c>
      <c r="E149" s="66" t="str">
        <f ca="1">IFERROR(VLOOKUP(U149,Images!$A:$C,3,FALSE),"")</f>
        <v/>
      </c>
      <c r="F149" s="65"/>
      <c r="G149" s="46" t="s">
        <v>358</v>
      </c>
      <c r="H149" s="64" t="str">
        <f>IFERROR(VLOOKUP(X149,Images!$A:$C,3,FALSE),X149)</f>
        <v>49 Currency</v>
      </c>
      <c r="I149" s="65"/>
      <c r="J149" s="43"/>
      <c r="K149" s="43"/>
      <c r="L149" s="43"/>
      <c r="M149" s="43"/>
      <c r="N149" s="43"/>
      <c r="O149" s="43"/>
      <c r="P149" s="43"/>
      <c r="Q149" s="43"/>
      <c r="R149" s="84" t="s">
        <v>8</v>
      </c>
      <c r="S149" s="65"/>
      <c r="T149" s="46" t="s">
        <v>357</v>
      </c>
      <c r="U149" s="84" t="s">
        <v>1</v>
      </c>
      <c r="V149" s="65"/>
      <c r="W149" s="46" t="s">
        <v>358</v>
      </c>
      <c r="X149" s="82" t="s">
        <v>170</v>
      </c>
      <c r="Y149" s="65"/>
      <c r="Z149" s="43"/>
    </row>
    <row r="150" spans="1:26" ht="37.5" customHeight="1">
      <c r="A150" s="43"/>
      <c r="B150" s="66" t="str">
        <f ca="1">IFERROR(VLOOKUP(R150,Images!$A:$C,3,FALSE),R150)</f>
        <v>Steel</v>
      </c>
      <c r="C150" s="65"/>
      <c r="D150" s="46" t="s">
        <v>357</v>
      </c>
      <c r="E150" s="66" t="str">
        <f ca="1">IFERROR(VLOOKUP(U150,Images!$A:$C,3,FALSE),"")</f>
        <v/>
      </c>
      <c r="F150" s="65"/>
      <c r="G150" s="46" t="s">
        <v>358</v>
      </c>
      <c r="H150" s="64" t="str">
        <f>IFERROR(VLOOKUP(X150,Images!$A:$C,3,FALSE),X150)</f>
        <v>54 Currency</v>
      </c>
      <c r="I150" s="65"/>
      <c r="J150" s="43"/>
      <c r="K150" s="43"/>
      <c r="L150" s="43"/>
      <c r="M150" s="43"/>
      <c r="N150" s="43"/>
      <c r="O150" s="43"/>
      <c r="P150" s="43"/>
      <c r="Q150" s="43"/>
      <c r="R150" s="84" t="s">
        <v>8</v>
      </c>
      <c r="S150" s="65"/>
      <c r="T150" s="46" t="s">
        <v>357</v>
      </c>
      <c r="U150" s="84" t="s">
        <v>2</v>
      </c>
      <c r="V150" s="65"/>
      <c r="W150" s="46" t="s">
        <v>358</v>
      </c>
      <c r="X150" s="82" t="s">
        <v>397</v>
      </c>
      <c r="Y150" s="65"/>
      <c r="Z150" s="43"/>
    </row>
    <row r="151" spans="1:26" ht="37.5" customHeight="1">
      <c r="A151" s="43"/>
      <c r="B151" s="66" t="str">
        <f ca="1">IFERROR(VLOOKUP(R151,Images!$A:$C,3,FALSE),R151)</f>
        <v>Steel</v>
      </c>
      <c r="C151" s="65"/>
      <c r="D151" s="46" t="s">
        <v>357</v>
      </c>
      <c r="E151" s="66" t="str">
        <f ca="1">IFERROR(VLOOKUP(U151,Images!$A:$C,3,FALSE),"")</f>
        <v/>
      </c>
      <c r="F151" s="65"/>
      <c r="G151" s="46" t="s">
        <v>358</v>
      </c>
      <c r="H151" s="64" t="str">
        <f>IFERROR(VLOOKUP(X151,Images!$A:$C,3,FALSE),X151)</f>
        <v>Event Equipment
(Molecularization)</v>
      </c>
      <c r="I151" s="65"/>
      <c r="J151" s="43"/>
      <c r="K151" s="43"/>
      <c r="L151" s="43"/>
      <c r="M151" s="43"/>
      <c r="N151" s="43"/>
      <c r="O151" s="43"/>
      <c r="P151" s="43"/>
      <c r="Q151" s="43"/>
      <c r="R151" s="84" t="s">
        <v>8</v>
      </c>
      <c r="S151" s="65"/>
      <c r="T151" s="46" t="s">
        <v>357</v>
      </c>
      <c r="U151" s="84" t="s">
        <v>3</v>
      </c>
      <c r="V151" s="65"/>
      <c r="W151" s="46" t="s">
        <v>358</v>
      </c>
      <c r="X151" s="82" t="s">
        <v>402</v>
      </c>
      <c r="Y151" s="65"/>
      <c r="Z151" s="43"/>
    </row>
    <row r="152" spans="1:26" ht="37.5" customHeight="1">
      <c r="A152" s="43"/>
      <c r="B152" s="66" t="str">
        <f ca="1">IFERROR(VLOOKUP(R152,Images!$A:$C,3,FALSE),R152)</f>
        <v>Steel</v>
      </c>
      <c r="C152" s="65"/>
      <c r="D152" s="46" t="s">
        <v>357</v>
      </c>
      <c r="E152" s="66" t="str">
        <f ca="1">IFERROR(VLOOKUP(U152,Images!$A:$C,3,FALSE),"")</f>
        <v/>
      </c>
      <c r="F152" s="65"/>
      <c r="G152" s="46" t="s">
        <v>358</v>
      </c>
      <c r="H152" s="64" t="str">
        <f>IFERROR(VLOOKUP(X152,Images!$A:$C,3,FALSE),X152)</f>
        <v>40 Raid Card
Fragments</v>
      </c>
      <c r="I152" s="65"/>
      <c r="J152" s="43"/>
      <c r="K152" s="43"/>
      <c r="L152" s="43"/>
      <c r="M152" s="43"/>
      <c r="N152" s="43"/>
      <c r="O152" s="43"/>
      <c r="P152" s="43"/>
      <c r="Q152" s="43"/>
      <c r="R152" s="84" t="s">
        <v>8</v>
      </c>
      <c r="S152" s="65"/>
      <c r="T152" s="46" t="s">
        <v>357</v>
      </c>
      <c r="U152" s="84" t="s">
        <v>4</v>
      </c>
      <c r="V152" s="65"/>
      <c r="W152" s="46" t="s">
        <v>358</v>
      </c>
      <c r="X152" s="82" t="s">
        <v>408</v>
      </c>
      <c r="Y152" s="65"/>
      <c r="Z152" s="43"/>
    </row>
    <row r="153" spans="1:26" ht="37.5" customHeight="1">
      <c r="A153" s="43"/>
      <c r="B153" s="66" t="str">
        <f ca="1">IFERROR(VLOOKUP(R153,Images!$A:$C,3,FALSE),R153)</f>
        <v>Steel</v>
      </c>
      <c r="C153" s="65"/>
      <c r="D153" s="46" t="s">
        <v>357</v>
      </c>
      <c r="E153" s="66" t="str">
        <f ca="1">IFERROR(VLOOKUP(U153,Images!$A:$C,3,FALSE),"")</f>
        <v/>
      </c>
      <c r="F153" s="65"/>
      <c r="G153" s="46" t="s">
        <v>358</v>
      </c>
      <c r="H153" s="64" t="str">
        <f>IFERROR(VLOOKUP(X153,Images!$A:$C,3,FALSE),X153)</f>
        <v>10 Pet Eggs</v>
      </c>
      <c r="I153" s="65"/>
      <c r="J153" s="43"/>
      <c r="K153" s="43"/>
      <c r="L153" s="43"/>
      <c r="M153" s="43"/>
      <c r="N153" s="43"/>
      <c r="O153" s="43"/>
      <c r="P153" s="43"/>
      <c r="Q153" s="43"/>
      <c r="R153" s="84" t="s">
        <v>8</v>
      </c>
      <c r="S153" s="65"/>
      <c r="T153" s="46" t="s">
        <v>357</v>
      </c>
      <c r="U153" s="84" t="s">
        <v>5</v>
      </c>
      <c r="V153" s="65"/>
      <c r="W153" s="46" t="s">
        <v>358</v>
      </c>
      <c r="X153" s="82" t="s">
        <v>172</v>
      </c>
      <c r="Y153" s="65"/>
      <c r="Z153" s="43"/>
    </row>
    <row r="154" spans="1:26" ht="37.5" customHeight="1">
      <c r="A154" s="43"/>
      <c r="B154" s="66" t="str">
        <f ca="1">IFERROR(VLOOKUP(R154,Images!$A:$C,3,FALSE),R154)</f>
        <v>Steel</v>
      </c>
      <c r="C154" s="65"/>
      <c r="D154" s="46" t="s">
        <v>357</v>
      </c>
      <c r="E154" s="66" t="str">
        <f ca="1">IFERROR(VLOOKUP(U154,Images!$A:$C,3,FALSE),"")</f>
        <v/>
      </c>
      <c r="F154" s="65"/>
      <c r="G154" s="46" t="s">
        <v>358</v>
      </c>
      <c r="H154" s="64">
        <f>IFERROR(VLOOKUP(X154,Images!$A:$C,3,FALSE),X154)</f>
        <v>0</v>
      </c>
      <c r="I154" s="65"/>
      <c r="J154" s="43"/>
      <c r="K154" s="43"/>
      <c r="L154" s="43"/>
      <c r="M154" s="43"/>
      <c r="N154" s="43"/>
      <c r="O154" s="43"/>
      <c r="P154" s="43"/>
      <c r="Q154" s="43"/>
      <c r="R154" s="84" t="s">
        <v>8</v>
      </c>
      <c r="S154" s="65"/>
      <c r="T154" s="46" t="s">
        <v>357</v>
      </c>
      <c r="U154" s="84" t="s">
        <v>6</v>
      </c>
      <c r="V154" s="65"/>
      <c r="W154" s="46" t="s">
        <v>358</v>
      </c>
      <c r="X154" s="82"/>
      <c r="Y154" s="65"/>
      <c r="Z154" s="43"/>
    </row>
    <row r="155" spans="1:26" ht="37.5" customHeight="1">
      <c r="A155" s="43"/>
      <c r="B155" s="66" t="str">
        <f ca="1">IFERROR(VLOOKUP(R155,Images!$A:$C,3,FALSE),R155)</f>
        <v>Steel</v>
      </c>
      <c r="C155" s="65"/>
      <c r="D155" s="46" t="s">
        <v>357</v>
      </c>
      <c r="E155" s="66" t="str">
        <f ca="1">IFERROR(VLOOKUP(U155,Images!$A:$C,3,FALSE),"")</f>
        <v/>
      </c>
      <c r="F155" s="65"/>
      <c r="G155" s="46" t="s">
        <v>358</v>
      </c>
      <c r="H155" s="64">
        <f>IFERROR(VLOOKUP(X155,Images!$A:$C,3,FALSE),X155)</f>
        <v>0</v>
      </c>
      <c r="I155" s="65"/>
      <c r="J155" s="43"/>
      <c r="K155" s="43"/>
      <c r="L155" s="43"/>
      <c r="M155" s="43"/>
      <c r="N155" s="43"/>
      <c r="O155" s="43"/>
      <c r="P155" s="43"/>
      <c r="Q155" s="43"/>
      <c r="R155" s="84" t="s">
        <v>8</v>
      </c>
      <c r="S155" s="65"/>
      <c r="T155" s="46" t="s">
        <v>357</v>
      </c>
      <c r="U155" s="84" t="s">
        <v>7</v>
      </c>
      <c r="V155" s="65"/>
      <c r="W155" s="46" t="s">
        <v>358</v>
      </c>
      <c r="X155" s="82"/>
      <c r="Y155" s="65"/>
      <c r="Z155" s="43"/>
    </row>
    <row r="156" spans="1:26" ht="37.5" customHeight="1">
      <c r="A156" s="43"/>
      <c r="B156" s="66" t="str">
        <f ca="1">IFERROR(VLOOKUP(R156,Images!$A:$C,3,FALSE),R156)</f>
        <v>Steel</v>
      </c>
      <c r="C156" s="65"/>
      <c r="D156" s="46" t="s">
        <v>357</v>
      </c>
      <c r="E156" s="66" t="str">
        <f ca="1">IFERROR(VLOOKUP(U156,Images!$A:$C,3,FALSE),"")</f>
        <v/>
      </c>
      <c r="F156" s="65"/>
      <c r="G156" s="46" t="s">
        <v>358</v>
      </c>
      <c r="H156" s="64" t="str">
        <f>IFERROR(VLOOKUP(X156,Images!$A:$C,3,FALSE),X156)</f>
        <v>88 Currency</v>
      </c>
      <c r="I156" s="65"/>
      <c r="J156" s="43"/>
      <c r="K156" s="43"/>
      <c r="L156" s="43"/>
      <c r="M156" s="43"/>
      <c r="N156" s="43"/>
      <c r="O156" s="43"/>
      <c r="P156" s="43"/>
      <c r="Q156" s="43"/>
      <c r="R156" s="84" t="s">
        <v>8</v>
      </c>
      <c r="S156" s="65"/>
      <c r="T156" s="46" t="s">
        <v>357</v>
      </c>
      <c r="U156" s="84" t="s">
        <v>8</v>
      </c>
      <c r="V156" s="65"/>
      <c r="W156" s="46" t="s">
        <v>358</v>
      </c>
      <c r="X156" s="82" t="s">
        <v>422</v>
      </c>
      <c r="Y156" s="65"/>
      <c r="Z156" s="43"/>
    </row>
    <row r="157" spans="1:26" ht="37.5" customHeight="1">
      <c r="A157" s="43"/>
      <c r="B157" s="66" t="str">
        <f ca="1">IFERROR(VLOOKUP(R157,Images!$A:$C,3,FALSE),R157)</f>
        <v>Steel</v>
      </c>
      <c r="C157" s="65"/>
      <c r="D157" s="46" t="s">
        <v>357</v>
      </c>
      <c r="E157" s="66" t="str">
        <f ca="1">IFERROR(VLOOKUP(U157,Images!$A:$C,3,FALSE),"")</f>
        <v/>
      </c>
      <c r="F157" s="65"/>
      <c r="G157" s="46" t="s">
        <v>358</v>
      </c>
      <c r="H157" s="64" t="str">
        <f>IFERROR(VLOOKUP(X157,Images!$A:$C,3,FALSE),X157)</f>
        <v>1210 Dust</v>
      </c>
      <c r="I157" s="65"/>
      <c r="J157" s="43"/>
      <c r="K157" s="43"/>
      <c r="L157" s="43"/>
      <c r="M157" s="43"/>
      <c r="N157" s="43"/>
      <c r="O157" s="43"/>
      <c r="P157" s="43"/>
      <c r="Q157" s="43"/>
      <c r="R157" s="84" t="s">
        <v>8</v>
      </c>
      <c r="S157" s="65"/>
      <c r="T157" s="46" t="s">
        <v>357</v>
      </c>
      <c r="U157" s="84" t="s">
        <v>9</v>
      </c>
      <c r="V157" s="65"/>
      <c r="W157" s="46" t="s">
        <v>358</v>
      </c>
      <c r="X157" s="82" t="s">
        <v>423</v>
      </c>
      <c r="Y157" s="65"/>
      <c r="Z157" s="43"/>
    </row>
    <row r="158" spans="1:26" ht="37.5" customHeight="1">
      <c r="A158" s="43"/>
      <c r="B158" s="66" t="str">
        <f ca="1">IFERROR(VLOOKUP(R158,Images!$A:$C,3,FALSE),R158)</f>
        <v>Steel</v>
      </c>
      <c r="C158" s="65"/>
      <c r="D158" s="46" t="s">
        <v>357</v>
      </c>
      <c r="E158" s="66" t="str">
        <f ca="1">IFERROR(VLOOKUP(U158,Images!$A:$C,3,FALSE),"")</f>
        <v/>
      </c>
      <c r="F158" s="65"/>
      <c r="G158" s="46" t="s">
        <v>358</v>
      </c>
      <c r="H158" s="64" t="str">
        <f>IFERROR(VLOOKUP(X158,Images!$A:$C,3,FALSE),X158)</f>
        <v>Legendary Equipment
(Toga Storm)</v>
      </c>
      <c r="I158" s="65"/>
      <c r="J158" s="43"/>
      <c r="K158" s="43"/>
      <c r="L158" s="43"/>
      <c r="M158" s="43"/>
      <c r="N158" s="43"/>
      <c r="O158" s="43"/>
      <c r="P158" s="43"/>
      <c r="Q158" s="43"/>
      <c r="R158" s="84" t="s">
        <v>8</v>
      </c>
      <c r="S158" s="65"/>
      <c r="T158" s="46" t="s">
        <v>357</v>
      </c>
      <c r="U158" s="84" t="s">
        <v>10</v>
      </c>
      <c r="V158" s="65"/>
      <c r="W158" s="46" t="s">
        <v>358</v>
      </c>
      <c r="X158" s="82" t="s">
        <v>424</v>
      </c>
      <c r="Y158" s="65"/>
      <c r="Z158" s="43"/>
    </row>
    <row r="159" spans="1:26" ht="37.5" customHeight="1">
      <c r="A159" s="43"/>
      <c r="B159" s="66" t="str">
        <f ca="1">IFERROR(VLOOKUP(R159,Images!$A:$C,3,FALSE),R159)</f>
        <v>Steel</v>
      </c>
      <c r="C159" s="65"/>
      <c r="D159" s="46" t="s">
        <v>357</v>
      </c>
      <c r="E159" s="66" t="str">
        <f ca="1">IFERROR(VLOOKUP(U159,Images!$A:$C,3,FALSE),"")</f>
        <v/>
      </c>
      <c r="F159" s="65"/>
      <c r="G159" s="46" t="s">
        <v>358</v>
      </c>
      <c r="H159" s="64" t="str">
        <f>IFERROR(VLOOKUP(X159,Images!$A:$C,3,FALSE),X159)</f>
        <v>Legendary Equipment</v>
      </c>
      <c r="I159" s="65"/>
      <c r="J159" s="43"/>
      <c r="K159" s="43"/>
      <c r="L159" s="43"/>
      <c r="M159" s="43"/>
      <c r="N159" s="43"/>
      <c r="O159" s="43"/>
      <c r="P159" s="43"/>
      <c r="Q159" s="43"/>
      <c r="R159" s="84" t="s">
        <v>8</v>
      </c>
      <c r="S159" s="65"/>
      <c r="T159" s="46" t="s">
        <v>357</v>
      </c>
      <c r="U159" s="84" t="s">
        <v>11</v>
      </c>
      <c r="V159" s="65"/>
      <c r="W159" s="46" t="s">
        <v>358</v>
      </c>
      <c r="X159" s="82" t="s">
        <v>425</v>
      </c>
      <c r="Y159" s="65"/>
      <c r="Z159" s="43"/>
    </row>
    <row r="160" spans="1:26" ht="37.5" customHeight="1">
      <c r="A160" s="43"/>
      <c r="B160" s="66" t="str">
        <f ca="1">IFERROR(VLOOKUP(R160,Images!$A:$C,3,FALSE),R160)</f>
        <v>Steel</v>
      </c>
      <c r="C160" s="65"/>
      <c r="D160" s="46" t="s">
        <v>357</v>
      </c>
      <c r="E160" s="66" t="str">
        <f ca="1">IFERROR(VLOOKUP(U160,Images!$A:$C,3,FALSE),"")</f>
        <v/>
      </c>
      <c r="F160" s="65"/>
      <c r="G160" s="46" t="s">
        <v>358</v>
      </c>
      <c r="H160" s="64" t="str">
        <f>IFERROR(VLOOKUP(X160,Images!$A:$C,3,FALSE),X160)</f>
        <v>66 Wildcards</v>
      </c>
      <c r="I160" s="65"/>
      <c r="J160" s="43"/>
      <c r="K160" s="43"/>
      <c r="L160" s="43"/>
      <c r="M160" s="43"/>
      <c r="N160" s="43"/>
      <c r="O160" s="43"/>
      <c r="P160" s="43"/>
      <c r="Q160" s="43"/>
      <c r="R160" s="84" t="s">
        <v>8</v>
      </c>
      <c r="S160" s="65"/>
      <c r="T160" s="46" t="s">
        <v>357</v>
      </c>
      <c r="U160" s="84" t="s">
        <v>12</v>
      </c>
      <c r="V160" s="65"/>
      <c r="W160" s="46" t="s">
        <v>358</v>
      </c>
      <c r="X160" s="82" t="s">
        <v>426</v>
      </c>
      <c r="Y160" s="65"/>
      <c r="Z160" s="43"/>
    </row>
    <row r="161" spans="1:26" ht="37.5" customHeight="1">
      <c r="A161" s="43"/>
      <c r="B161" s="66" t="str">
        <f ca="1">IFERROR(VLOOKUP(R161,Images!$A:$C,3,FALSE),R161)</f>
        <v>Steel</v>
      </c>
      <c r="C161" s="65"/>
      <c r="D161" s="46" t="s">
        <v>357</v>
      </c>
      <c r="E161" s="66" t="str">
        <f ca="1">IFERROR(VLOOKUP(U161,Images!$A:$C,3,FALSE),"")</f>
        <v/>
      </c>
      <c r="F161" s="65"/>
      <c r="G161" s="46" t="s">
        <v>358</v>
      </c>
      <c r="H161" s="64" t="str">
        <f>IFERROR(VLOOKUP(X161,Images!$A:$C,3,FALSE),X161)</f>
        <v>Legendary Piece (Head in the Clouds)</v>
      </c>
      <c r="I161" s="65"/>
      <c r="J161" s="43"/>
      <c r="K161" s="43"/>
      <c r="L161" s="43"/>
      <c r="M161" s="43"/>
      <c r="N161" s="43"/>
      <c r="O161" s="43"/>
      <c r="P161" s="43"/>
      <c r="Q161" s="43"/>
      <c r="R161" s="84" t="s">
        <v>8</v>
      </c>
      <c r="S161" s="65"/>
      <c r="T161" s="46" t="s">
        <v>357</v>
      </c>
      <c r="U161" s="84" t="s">
        <v>13</v>
      </c>
      <c r="V161" s="65"/>
      <c r="W161" s="46" t="s">
        <v>358</v>
      </c>
      <c r="X161" s="82" t="s">
        <v>427</v>
      </c>
      <c r="Y161" s="65"/>
      <c r="Z161" s="43"/>
    </row>
    <row r="162" spans="1:26" ht="37.5" customHeight="1">
      <c r="A162" s="43"/>
      <c r="B162" s="71"/>
      <c r="C162" s="72"/>
      <c r="D162" s="43"/>
      <c r="E162" s="43"/>
      <c r="F162" s="43"/>
      <c r="G162" s="43"/>
      <c r="H162" s="67" t="str">
        <f>HYPERLINK("https://docs.google.com/spreadsheets/d/1o95Ipwx6NIyFV3LCz9LGNbH9_WELHF-pbpkM31YwXyY/edit#gid=0&amp;range=A1","Back to Top")</f>
        <v>Back to Top</v>
      </c>
      <c r="I162" s="65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83" t="s">
        <v>440</v>
      </c>
      <c r="Y162" s="65"/>
      <c r="Z162" s="43"/>
    </row>
    <row r="163" spans="1:26" ht="37.5" customHeight="1">
      <c r="A163" s="43"/>
      <c r="B163" s="71"/>
      <c r="C163" s="7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37.5" customHeight="1">
      <c r="A164" s="43"/>
      <c r="B164" s="68" t="str">
        <f>R164</f>
        <v>Scale Recipes</v>
      </c>
      <c r="C164" s="69"/>
      <c r="D164" s="69"/>
      <c r="E164" s="69"/>
      <c r="F164" s="69"/>
      <c r="G164" s="69"/>
      <c r="H164" s="69"/>
      <c r="I164" s="65"/>
      <c r="J164" s="43"/>
      <c r="K164" s="43"/>
      <c r="L164" s="43"/>
      <c r="M164" s="43"/>
      <c r="N164" s="43"/>
      <c r="O164" s="43"/>
      <c r="P164" s="43"/>
      <c r="Q164" s="43"/>
      <c r="R164" s="85" t="s">
        <v>449</v>
      </c>
      <c r="S164" s="69"/>
      <c r="T164" s="69"/>
      <c r="U164" s="69"/>
      <c r="V164" s="69"/>
      <c r="W164" s="69"/>
      <c r="X164" s="69"/>
      <c r="Y164" s="65"/>
      <c r="Z164" s="43"/>
    </row>
    <row r="165" spans="1:26" ht="37.5" customHeight="1">
      <c r="A165" s="43"/>
      <c r="B165" s="66" t="str">
        <f ca="1">IFERROR(VLOOKUP(R165,Images!$A:$C,3,FALSE),R165)</f>
        <v>Scale</v>
      </c>
      <c r="C165" s="65"/>
      <c r="D165" s="46" t="s">
        <v>357</v>
      </c>
      <c r="E165" s="66" t="str">
        <f ca="1">IFERROR(VLOOKUP(U165,Images!$A:$C,3,FALSE),"")</f>
        <v/>
      </c>
      <c r="F165" s="65"/>
      <c r="G165" s="46" t="s">
        <v>358</v>
      </c>
      <c r="H165" s="64" t="str">
        <f>IFERROR(VLOOKUP(X165,Images!$A:$C,3,FALSE),X165)</f>
        <v>820 Dust</v>
      </c>
      <c r="I165" s="65"/>
      <c r="J165" s="43"/>
      <c r="K165" s="43"/>
      <c r="L165" s="43"/>
      <c r="M165" s="43"/>
      <c r="N165" s="43"/>
      <c r="O165" s="43"/>
      <c r="P165" s="43"/>
      <c r="Q165" s="43"/>
      <c r="R165" s="84" t="s">
        <v>9</v>
      </c>
      <c r="S165" s="65"/>
      <c r="T165" s="46" t="s">
        <v>357</v>
      </c>
      <c r="U165" s="84" t="s">
        <v>0</v>
      </c>
      <c r="V165" s="65"/>
      <c r="W165" s="46" t="s">
        <v>358</v>
      </c>
      <c r="X165" s="82" t="s">
        <v>328</v>
      </c>
      <c r="Y165" s="65"/>
      <c r="Z165" s="43"/>
    </row>
    <row r="166" spans="1:26" ht="37.5" customHeight="1">
      <c r="A166" s="43"/>
      <c r="B166" s="66" t="str">
        <f ca="1">IFERROR(VLOOKUP(R166,Images!$A:$C,3,FALSE),R166)</f>
        <v>Scale</v>
      </c>
      <c r="C166" s="65"/>
      <c r="D166" s="46" t="s">
        <v>357</v>
      </c>
      <c r="E166" s="66" t="str">
        <f ca="1">IFERROR(VLOOKUP(U166,Images!$A:$C,3,FALSE),"")</f>
        <v/>
      </c>
      <c r="F166" s="65"/>
      <c r="G166" s="46" t="s">
        <v>358</v>
      </c>
      <c r="H166" s="64" t="str">
        <f>IFERROR(VLOOKUP(X166,Images!$A:$C,3,FALSE),X166)</f>
        <v>82 Currency</v>
      </c>
      <c r="I166" s="65"/>
      <c r="J166" s="43"/>
      <c r="K166" s="43"/>
      <c r="L166" s="43"/>
      <c r="M166" s="43"/>
      <c r="N166" s="43"/>
      <c r="O166" s="43"/>
      <c r="P166" s="43"/>
      <c r="Q166" s="43"/>
      <c r="R166" s="84" t="s">
        <v>9</v>
      </c>
      <c r="S166" s="65"/>
      <c r="T166" s="46" t="s">
        <v>357</v>
      </c>
      <c r="U166" s="84" t="s">
        <v>1</v>
      </c>
      <c r="V166" s="65"/>
      <c r="W166" s="46" t="s">
        <v>358</v>
      </c>
      <c r="X166" s="82" t="s">
        <v>394</v>
      </c>
      <c r="Y166" s="65"/>
      <c r="Z166" s="43"/>
    </row>
    <row r="167" spans="1:26" ht="37.5" customHeight="1">
      <c r="A167" s="43"/>
      <c r="B167" s="66" t="str">
        <f ca="1">IFERROR(VLOOKUP(R167,Images!$A:$C,3,FALSE),R167)</f>
        <v>Scale</v>
      </c>
      <c r="C167" s="65"/>
      <c r="D167" s="46" t="s">
        <v>357</v>
      </c>
      <c r="E167" s="66" t="str">
        <f ca="1">IFERROR(VLOOKUP(U167,Images!$A:$C,3,FALSE),"")</f>
        <v/>
      </c>
      <c r="F167" s="65"/>
      <c r="G167" s="46" t="s">
        <v>358</v>
      </c>
      <c r="H167" s="64" t="str">
        <f>IFERROR(VLOOKUP(X167,Images!$A:$C,3,FALSE),X167)</f>
        <v>87 Currency</v>
      </c>
      <c r="I167" s="65"/>
      <c r="J167" s="43"/>
      <c r="K167" s="43"/>
      <c r="L167" s="43"/>
      <c r="M167" s="43"/>
      <c r="N167" s="43"/>
      <c r="O167" s="43"/>
      <c r="P167" s="43"/>
      <c r="Q167" s="43"/>
      <c r="R167" s="84" t="s">
        <v>9</v>
      </c>
      <c r="S167" s="65"/>
      <c r="T167" s="46" t="s">
        <v>357</v>
      </c>
      <c r="U167" s="84" t="s">
        <v>2</v>
      </c>
      <c r="V167" s="65"/>
      <c r="W167" s="46" t="s">
        <v>358</v>
      </c>
      <c r="X167" s="82" t="s">
        <v>398</v>
      </c>
      <c r="Y167" s="65"/>
      <c r="Z167" s="43"/>
    </row>
    <row r="168" spans="1:26" ht="37.5" customHeight="1">
      <c r="A168" s="43"/>
      <c r="B168" s="66" t="str">
        <f ca="1">IFERROR(VLOOKUP(R168,Images!$A:$C,3,FALSE),R168)</f>
        <v>Scale</v>
      </c>
      <c r="C168" s="65"/>
      <c r="D168" s="46" t="s">
        <v>357</v>
      </c>
      <c r="E168" s="66" t="str">
        <f ca="1">IFERROR(VLOOKUP(U168,Images!$A:$C,3,FALSE),"")</f>
        <v/>
      </c>
      <c r="F168" s="65"/>
      <c r="G168" s="46" t="s">
        <v>358</v>
      </c>
      <c r="H168" s="64" t="str">
        <f>IFERROR(VLOOKUP(X168,Images!$A:$C,3,FALSE),X168)</f>
        <v>87 Currency</v>
      </c>
      <c r="I168" s="65"/>
      <c r="J168" s="43"/>
      <c r="K168" s="43"/>
      <c r="L168" s="43"/>
      <c r="M168" s="43"/>
      <c r="N168" s="43"/>
      <c r="O168" s="43"/>
      <c r="P168" s="43"/>
      <c r="Q168" s="43"/>
      <c r="R168" s="84" t="s">
        <v>9</v>
      </c>
      <c r="S168" s="65"/>
      <c r="T168" s="46" t="s">
        <v>357</v>
      </c>
      <c r="U168" s="84" t="s">
        <v>3</v>
      </c>
      <c r="V168" s="65"/>
      <c r="W168" s="46" t="s">
        <v>358</v>
      </c>
      <c r="X168" s="82" t="s">
        <v>398</v>
      </c>
      <c r="Y168" s="65"/>
      <c r="Z168" s="43"/>
    </row>
    <row r="169" spans="1:26" ht="37.5" customHeight="1">
      <c r="A169" s="43"/>
      <c r="B169" s="66" t="str">
        <f ca="1">IFERROR(VLOOKUP(R169,Images!$A:$C,3,FALSE),R169)</f>
        <v>Scale</v>
      </c>
      <c r="C169" s="65"/>
      <c r="D169" s="46" t="s">
        <v>357</v>
      </c>
      <c r="E169" s="66" t="str">
        <f ca="1">IFERROR(VLOOKUP(U169,Images!$A:$C,3,FALSE),"")</f>
        <v/>
      </c>
      <c r="F169" s="65"/>
      <c r="G169" s="46" t="s">
        <v>358</v>
      </c>
      <c r="H169" s="64" t="str">
        <f>IFERROR(VLOOKUP(X169,Images!$A:$C,3,FALSE),X169)</f>
        <v>980 Dust</v>
      </c>
      <c r="I169" s="65"/>
      <c r="J169" s="43"/>
      <c r="K169" s="43"/>
      <c r="L169" s="43"/>
      <c r="M169" s="43"/>
      <c r="N169" s="43"/>
      <c r="O169" s="43"/>
      <c r="P169" s="43"/>
      <c r="Q169" s="43"/>
      <c r="R169" s="84" t="s">
        <v>9</v>
      </c>
      <c r="S169" s="65"/>
      <c r="T169" s="46" t="s">
        <v>357</v>
      </c>
      <c r="U169" s="84" t="s">
        <v>4</v>
      </c>
      <c r="V169" s="65"/>
      <c r="W169" s="46" t="s">
        <v>358</v>
      </c>
      <c r="X169" s="82" t="s">
        <v>409</v>
      </c>
      <c r="Y169" s="65"/>
      <c r="Z169" s="43"/>
    </row>
    <row r="170" spans="1:26" ht="37.5" customHeight="1">
      <c r="A170" s="43"/>
      <c r="B170" s="66" t="str">
        <f ca="1">IFERROR(VLOOKUP(R170,Images!$A:$C,3,FALSE),R170)</f>
        <v>Scale</v>
      </c>
      <c r="C170" s="65"/>
      <c r="D170" s="46" t="s">
        <v>357</v>
      </c>
      <c r="E170" s="66" t="str">
        <f ca="1">IFERROR(VLOOKUP(U170,Images!$A:$C,3,FALSE),"")</f>
        <v/>
      </c>
      <c r="F170" s="65"/>
      <c r="G170" s="46" t="s">
        <v>358</v>
      </c>
      <c r="H170" s="64" t="str">
        <f>IFERROR(VLOOKUP(X170,Images!$A:$C,3,FALSE),X170)</f>
        <v>980 Dust</v>
      </c>
      <c r="I170" s="65"/>
      <c r="J170" s="43"/>
      <c r="K170" s="43"/>
      <c r="L170" s="43"/>
      <c r="M170" s="43"/>
      <c r="N170" s="43"/>
      <c r="O170" s="43"/>
      <c r="P170" s="43"/>
      <c r="Q170" s="43"/>
      <c r="R170" s="84" t="s">
        <v>9</v>
      </c>
      <c r="S170" s="65"/>
      <c r="T170" s="46" t="s">
        <v>357</v>
      </c>
      <c r="U170" s="84" t="s">
        <v>5</v>
      </c>
      <c r="V170" s="65"/>
      <c r="W170" s="46" t="s">
        <v>358</v>
      </c>
      <c r="X170" s="82" t="s">
        <v>409</v>
      </c>
      <c r="Y170" s="65"/>
      <c r="Z170" s="43"/>
    </row>
    <row r="171" spans="1:26" ht="37.5" customHeight="1">
      <c r="A171" s="43"/>
      <c r="B171" s="66" t="str">
        <f ca="1">IFERROR(VLOOKUP(R171,Images!$A:$C,3,FALSE),R171)</f>
        <v>Scale</v>
      </c>
      <c r="C171" s="65"/>
      <c r="D171" s="46" t="s">
        <v>357</v>
      </c>
      <c r="E171" s="66" t="str">
        <f ca="1">IFERROR(VLOOKUP(U171,Images!$A:$C,3,FALSE),"")</f>
        <v/>
      </c>
      <c r="F171" s="65"/>
      <c r="G171" s="46" t="s">
        <v>358</v>
      </c>
      <c r="H171" s="64" t="str">
        <f>IFERROR(VLOOKUP(X171,Images!$A:$C,3,FALSE),X171)</f>
        <v>Avatar
(110 Currency)</v>
      </c>
      <c r="I171" s="65"/>
      <c r="J171" s="43"/>
      <c r="K171" s="43"/>
      <c r="L171" s="43"/>
      <c r="M171" s="43"/>
      <c r="N171" s="43"/>
      <c r="O171" s="43"/>
      <c r="P171" s="43"/>
      <c r="Q171" s="43"/>
      <c r="R171" s="84" t="s">
        <v>9</v>
      </c>
      <c r="S171" s="65"/>
      <c r="T171" s="46" t="s">
        <v>357</v>
      </c>
      <c r="U171" s="84" t="s">
        <v>6</v>
      </c>
      <c r="V171" s="65"/>
      <c r="W171" s="46" t="s">
        <v>358</v>
      </c>
      <c r="X171" s="82" t="s">
        <v>416</v>
      </c>
      <c r="Y171" s="65"/>
      <c r="Z171" s="43"/>
    </row>
    <row r="172" spans="1:26" ht="37.5" customHeight="1">
      <c r="A172" s="43"/>
      <c r="B172" s="66" t="str">
        <f ca="1">IFERROR(VLOOKUP(R172,Images!$A:$C,3,FALSE),R172)</f>
        <v>Scale</v>
      </c>
      <c r="C172" s="65"/>
      <c r="D172" s="46" t="s">
        <v>357</v>
      </c>
      <c r="E172" s="66" t="str">
        <f ca="1">IFERROR(VLOOKUP(U172,Images!$A:$C,3,FALSE),"")</f>
        <v/>
      </c>
      <c r="F172" s="65"/>
      <c r="G172" s="46" t="s">
        <v>358</v>
      </c>
      <c r="H172" s="64" t="str">
        <f>IFERROR(VLOOKUP(X172,Images!$A:$C,3,FALSE),X172)</f>
        <v>115 Currency</v>
      </c>
      <c r="I172" s="65"/>
      <c r="J172" s="43"/>
      <c r="K172" s="43"/>
      <c r="L172" s="43"/>
      <c r="M172" s="43"/>
      <c r="N172" s="43"/>
      <c r="O172" s="43"/>
      <c r="P172" s="43"/>
      <c r="Q172" s="43"/>
      <c r="R172" s="84" t="s">
        <v>9</v>
      </c>
      <c r="S172" s="65"/>
      <c r="T172" s="46" t="s">
        <v>357</v>
      </c>
      <c r="U172" s="84" t="s">
        <v>7</v>
      </c>
      <c r="V172" s="65"/>
      <c r="W172" s="46" t="s">
        <v>358</v>
      </c>
      <c r="X172" s="82" t="s">
        <v>419</v>
      </c>
      <c r="Y172" s="65"/>
      <c r="Z172" s="43"/>
    </row>
    <row r="173" spans="1:26" ht="37.5" customHeight="1">
      <c r="A173" s="43"/>
      <c r="B173" s="66" t="str">
        <f ca="1">IFERROR(VLOOKUP(R173,Images!$A:$C,3,FALSE),R173)</f>
        <v>Scale</v>
      </c>
      <c r="C173" s="65"/>
      <c r="D173" s="46" t="s">
        <v>357</v>
      </c>
      <c r="E173" s="66" t="str">
        <f ca="1">IFERROR(VLOOKUP(U173,Images!$A:$C,3,FALSE),"")</f>
        <v/>
      </c>
      <c r="F173" s="65"/>
      <c r="G173" s="46" t="s">
        <v>358</v>
      </c>
      <c r="H173" s="64" t="str">
        <f>IFERROR(VLOOKUP(X173,Images!$A:$C,3,FALSE),X173)</f>
        <v>1210 Dust</v>
      </c>
      <c r="I173" s="65"/>
      <c r="J173" s="43"/>
      <c r="K173" s="43"/>
      <c r="L173" s="43"/>
      <c r="M173" s="43"/>
      <c r="N173" s="43"/>
      <c r="O173" s="43"/>
      <c r="P173" s="43"/>
      <c r="Q173" s="43"/>
      <c r="R173" s="84" t="s">
        <v>9</v>
      </c>
      <c r="S173" s="65"/>
      <c r="T173" s="46" t="s">
        <v>357</v>
      </c>
      <c r="U173" s="84" t="s">
        <v>8</v>
      </c>
      <c r="V173" s="65"/>
      <c r="W173" s="46" t="s">
        <v>358</v>
      </c>
      <c r="X173" s="82" t="s">
        <v>423</v>
      </c>
      <c r="Y173" s="65"/>
      <c r="Z173" s="43"/>
    </row>
    <row r="174" spans="1:26" ht="37.5" customHeight="1">
      <c r="A174" s="43"/>
      <c r="B174" s="66" t="str">
        <f ca="1">IFERROR(VLOOKUP(R174,Images!$A:$C,3,FALSE),R174)</f>
        <v>Scale</v>
      </c>
      <c r="C174" s="65"/>
      <c r="D174" s="46" t="s">
        <v>357</v>
      </c>
      <c r="E174" s="66" t="str">
        <f ca="1">IFERROR(VLOOKUP(U174,Images!$A:$C,3,FALSE),"")</f>
        <v/>
      </c>
      <c r="F174" s="65"/>
      <c r="G174" s="46" t="s">
        <v>358</v>
      </c>
      <c r="H174" s="64" t="str">
        <f>IFERROR(VLOOKUP(X174,Images!$A:$C,3,FALSE),X174)</f>
        <v>154 Currency</v>
      </c>
      <c r="I174" s="65"/>
      <c r="J174" s="43"/>
      <c r="K174" s="43"/>
      <c r="L174" s="43"/>
      <c r="M174" s="43"/>
      <c r="N174" s="43"/>
      <c r="O174" s="43"/>
      <c r="P174" s="43"/>
      <c r="Q174" s="43"/>
      <c r="R174" s="84" t="s">
        <v>9</v>
      </c>
      <c r="S174" s="65"/>
      <c r="T174" s="46" t="s">
        <v>357</v>
      </c>
      <c r="U174" s="84" t="s">
        <v>9</v>
      </c>
      <c r="V174" s="65"/>
      <c r="W174" s="46" t="s">
        <v>358</v>
      </c>
      <c r="X174" s="82" t="s">
        <v>428</v>
      </c>
      <c r="Y174" s="65"/>
      <c r="Z174" s="43"/>
    </row>
    <row r="175" spans="1:26" ht="37.5" customHeight="1">
      <c r="A175" s="43"/>
      <c r="B175" s="66" t="str">
        <f ca="1">IFERROR(VLOOKUP(R175,Images!$A:$C,3,FALSE),R175)</f>
        <v>Scale</v>
      </c>
      <c r="C175" s="65"/>
      <c r="D175" s="46" t="s">
        <v>357</v>
      </c>
      <c r="E175" s="66" t="str">
        <f ca="1">IFERROR(VLOOKUP(U175,Images!$A:$C,3,FALSE),"")</f>
        <v/>
      </c>
      <c r="F175" s="65"/>
      <c r="G175" s="46" t="s">
        <v>358</v>
      </c>
      <c r="H175" s="64" t="str">
        <f>IFERROR(VLOOKUP(X175,Images!$A:$C,3,FALSE),X175)</f>
        <v>1560 Dust</v>
      </c>
      <c r="I175" s="65"/>
      <c r="J175" s="43"/>
      <c r="K175" s="43"/>
      <c r="L175" s="43"/>
      <c r="M175" s="43"/>
      <c r="N175" s="43"/>
      <c r="O175" s="43"/>
      <c r="P175" s="43"/>
      <c r="Q175" s="43"/>
      <c r="R175" s="84" t="s">
        <v>9</v>
      </c>
      <c r="S175" s="65"/>
      <c r="T175" s="46" t="s">
        <v>357</v>
      </c>
      <c r="U175" s="84" t="s">
        <v>10</v>
      </c>
      <c r="V175" s="65"/>
      <c r="W175" s="46" t="s">
        <v>358</v>
      </c>
      <c r="X175" s="82" t="s">
        <v>429</v>
      </c>
      <c r="Y175" s="65"/>
      <c r="Z175" s="43"/>
    </row>
    <row r="176" spans="1:26" ht="37.5" customHeight="1">
      <c r="A176" s="43"/>
      <c r="B176" s="66" t="str">
        <f ca="1">IFERROR(VLOOKUP(R176,Images!$A:$C,3,FALSE),R176)</f>
        <v>Scale</v>
      </c>
      <c r="C176" s="65"/>
      <c r="D176" s="46" t="s">
        <v>357</v>
      </c>
      <c r="E176" s="66" t="str">
        <f ca="1">IFERROR(VLOOKUP(U176,Images!$A:$C,3,FALSE),"")</f>
        <v/>
      </c>
      <c r="F176" s="65"/>
      <c r="G176" s="46" t="s">
        <v>358</v>
      </c>
      <c r="H176" s="64" t="str">
        <f>IFERROR(VLOOKUP(X176,Images!$A:$C,3,FALSE),X176)</f>
        <v>3 Hero Weapons</v>
      </c>
      <c r="I176" s="65"/>
      <c r="J176" s="43"/>
      <c r="K176" s="43"/>
      <c r="L176" s="43"/>
      <c r="M176" s="43"/>
      <c r="N176" s="43"/>
      <c r="O176" s="43"/>
      <c r="P176" s="43"/>
      <c r="Q176" s="43"/>
      <c r="R176" s="84" t="s">
        <v>9</v>
      </c>
      <c r="S176" s="65"/>
      <c r="T176" s="46" t="s">
        <v>357</v>
      </c>
      <c r="U176" s="84" t="s">
        <v>11</v>
      </c>
      <c r="V176" s="65"/>
      <c r="W176" s="46" t="s">
        <v>358</v>
      </c>
      <c r="X176" s="82" t="s">
        <v>171</v>
      </c>
      <c r="Y176" s="65"/>
      <c r="Z176" s="43"/>
    </row>
    <row r="177" spans="1:26" ht="37.5" customHeight="1">
      <c r="A177" s="43"/>
      <c r="B177" s="66" t="str">
        <f ca="1">IFERROR(VLOOKUP(R177,Images!$A:$C,3,FALSE),R177)</f>
        <v>Scale</v>
      </c>
      <c r="C177" s="65"/>
      <c r="D177" s="46" t="s">
        <v>357</v>
      </c>
      <c r="E177" s="66" t="str">
        <f ca="1">IFERROR(VLOOKUP(U177,Images!$A:$C,3,FALSE),"")</f>
        <v/>
      </c>
      <c r="F177" s="65"/>
      <c r="G177" s="46" t="s">
        <v>358</v>
      </c>
      <c r="H177" s="64" t="str">
        <f>IFERROR(VLOOKUP(X177,Images!$A:$C,3,FALSE),X177)</f>
        <v>1660 Dust</v>
      </c>
      <c r="I177" s="65"/>
      <c r="J177" s="43"/>
      <c r="K177" s="43"/>
      <c r="L177" s="43"/>
      <c r="M177" s="43"/>
      <c r="N177" s="43"/>
      <c r="O177" s="43"/>
      <c r="P177" s="43"/>
      <c r="Q177" s="43"/>
      <c r="R177" s="84" t="s">
        <v>9</v>
      </c>
      <c r="S177" s="65"/>
      <c r="T177" s="46" t="s">
        <v>357</v>
      </c>
      <c r="U177" s="84" t="s">
        <v>12</v>
      </c>
      <c r="V177" s="65"/>
      <c r="W177" s="46" t="s">
        <v>358</v>
      </c>
      <c r="X177" s="82" t="s">
        <v>430</v>
      </c>
      <c r="Y177" s="65"/>
      <c r="Z177" s="43"/>
    </row>
    <row r="178" spans="1:26" ht="37.5" customHeight="1">
      <c r="A178" s="43"/>
      <c r="B178" s="66" t="str">
        <f ca="1">IFERROR(VLOOKUP(R178,Images!$A:$C,3,FALSE),R178)</f>
        <v>Scale</v>
      </c>
      <c r="C178" s="65"/>
      <c r="D178" s="46" t="s">
        <v>357</v>
      </c>
      <c r="E178" s="66" t="str">
        <f ca="1">IFERROR(VLOOKUP(U178,Images!$A:$C,3,FALSE),"")</f>
        <v/>
      </c>
      <c r="F178" s="65"/>
      <c r="G178" s="46" t="s">
        <v>358</v>
      </c>
      <c r="H178" s="64" t="str">
        <f>IFERROR(VLOOKUP(X178,Images!$A:$C,3,FALSE),X178)</f>
        <v>2 Skill Points</v>
      </c>
      <c r="I178" s="65"/>
      <c r="J178" s="43"/>
      <c r="K178" s="43"/>
      <c r="L178" s="43"/>
      <c r="M178" s="43"/>
      <c r="N178" s="43"/>
      <c r="O178" s="43"/>
      <c r="P178" s="43"/>
      <c r="Q178" s="43"/>
      <c r="R178" s="84" t="s">
        <v>9</v>
      </c>
      <c r="S178" s="65"/>
      <c r="T178" s="46" t="s">
        <v>357</v>
      </c>
      <c r="U178" s="84" t="s">
        <v>13</v>
      </c>
      <c r="V178" s="65"/>
      <c r="W178" s="46" t="s">
        <v>358</v>
      </c>
      <c r="X178" s="82" t="s">
        <v>55</v>
      </c>
      <c r="Y178" s="65"/>
      <c r="Z178" s="43"/>
    </row>
    <row r="179" spans="1:26" ht="37.5" customHeight="1">
      <c r="A179" s="43"/>
      <c r="B179" s="43"/>
      <c r="C179" s="43"/>
      <c r="D179" s="43"/>
      <c r="E179" s="43"/>
      <c r="F179" s="43"/>
      <c r="G179" s="43"/>
      <c r="H179" s="67" t="str">
        <f>HYPERLINK("https://docs.google.com/spreadsheets/d/1o95Ipwx6NIyFV3LCz9LGNbH9_WELHF-pbpkM31YwXyY/edit#gid=0&amp;range=A1","Back to Top")</f>
        <v>Back to Top</v>
      </c>
      <c r="I179" s="65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83" t="s">
        <v>440</v>
      </c>
      <c r="Y179" s="65"/>
      <c r="Z179" s="43"/>
    </row>
    <row r="180" spans="1:26" ht="37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37.5" customHeight="1">
      <c r="A181" s="43"/>
      <c r="B181" s="68" t="str">
        <f>R181</f>
        <v>Essence Recipes</v>
      </c>
      <c r="C181" s="69"/>
      <c r="D181" s="69"/>
      <c r="E181" s="69"/>
      <c r="F181" s="69"/>
      <c r="G181" s="69"/>
      <c r="H181" s="69"/>
      <c r="I181" s="65"/>
      <c r="J181" s="43"/>
      <c r="K181" s="43"/>
      <c r="L181" s="43"/>
      <c r="M181" s="43"/>
      <c r="N181" s="43"/>
      <c r="O181" s="43"/>
      <c r="P181" s="43"/>
      <c r="Q181" s="43"/>
      <c r="R181" s="85" t="s">
        <v>450</v>
      </c>
      <c r="S181" s="69"/>
      <c r="T181" s="69"/>
      <c r="U181" s="69"/>
      <c r="V181" s="69"/>
      <c r="W181" s="69"/>
      <c r="X181" s="69"/>
      <c r="Y181" s="65"/>
      <c r="Z181" s="43"/>
    </row>
    <row r="182" spans="1:26" ht="37.5" customHeight="1">
      <c r="A182" s="43"/>
      <c r="B182" s="66" t="str">
        <f ca="1">IFERROR(VLOOKUP(R182,Images!$A:$C,3,FALSE),R182)</f>
        <v>Essence</v>
      </c>
      <c r="C182" s="65"/>
      <c r="D182" s="46" t="s">
        <v>357</v>
      </c>
      <c r="E182" s="66" t="str">
        <f ca="1">IFERROR(VLOOKUP(U182,Images!$A:$C,3,FALSE),"")</f>
        <v/>
      </c>
      <c r="F182" s="65"/>
      <c r="G182" s="46" t="s">
        <v>358</v>
      </c>
      <c r="H182" s="64" t="str">
        <f>IFERROR(VLOOKUP(X182,Images!$A:$C,3,FALSE),X182)</f>
        <v>84 Currency</v>
      </c>
      <c r="I182" s="65"/>
      <c r="J182" s="43"/>
      <c r="K182" s="43"/>
      <c r="L182" s="43"/>
      <c r="M182" s="43"/>
      <c r="N182" s="43"/>
      <c r="O182" s="43"/>
      <c r="P182" s="43"/>
      <c r="Q182" s="43"/>
      <c r="R182" s="84" t="s">
        <v>10</v>
      </c>
      <c r="S182" s="65"/>
      <c r="T182" s="46" t="s">
        <v>357</v>
      </c>
      <c r="U182" s="84" t="s">
        <v>0</v>
      </c>
      <c r="V182" s="65"/>
      <c r="W182" s="46" t="s">
        <v>358</v>
      </c>
      <c r="X182" s="82" t="s">
        <v>249</v>
      </c>
      <c r="Y182" s="65"/>
      <c r="Z182" s="43"/>
    </row>
    <row r="183" spans="1:26" ht="37.5" customHeight="1">
      <c r="A183" s="43"/>
      <c r="B183" s="66" t="str">
        <f ca="1">IFERROR(VLOOKUP(R183,Images!$A:$C,3,FALSE),R183)</f>
        <v>Essence</v>
      </c>
      <c r="C183" s="65"/>
      <c r="D183" s="46" t="s">
        <v>357</v>
      </c>
      <c r="E183" s="66" t="str">
        <f ca="1">IFERROR(VLOOKUP(U183,Images!$A:$C,3,FALSE),"")</f>
        <v/>
      </c>
      <c r="F183" s="65"/>
      <c r="G183" s="46" t="s">
        <v>358</v>
      </c>
      <c r="H183" s="64">
        <f>IFERROR(VLOOKUP(X183,Images!$A:$C,3,FALSE),X183)</f>
        <v>0</v>
      </c>
      <c r="I183" s="65"/>
      <c r="J183" s="43"/>
      <c r="K183" s="43"/>
      <c r="L183" s="43"/>
      <c r="M183" s="43"/>
      <c r="N183" s="43"/>
      <c r="O183" s="43"/>
      <c r="P183" s="43"/>
      <c r="Q183" s="43"/>
      <c r="R183" s="84" t="s">
        <v>10</v>
      </c>
      <c r="S183" s="65"/>
      <c r="T183" s="46" t="s">
        <v>357</v>
      </c>
      <c r="U183" s="84" t="s">
        <v>1</v>
      </c>
      <c r="V183" s="65"/>
      <c r="W183" s="46" t="s">
        <v>358</v>
      </c>
      <c r="X183" s="82"/>
      <c r="Y183" s="65"/>
      <c r="Z183" s="43"/>
    </row>
    <row r="184" spans="1:26" ht="37.5" customHeight="1">
      <c r="A184" s="43"/>
      <c r="B184" s="66" t="str">
        <f ca="1">IFERROR(VLOOKUP(R184,Images!$A:$C,3,FALSE),R184)</f>
        <v>Essence</v>
      </c>
      <c r="C184" s="65"/>
      <c r="D184" s="46" t="s">
        <v>357</v>
      </c>
      <c r="E184" s="66" t="str">
        <f ca="1">IFERROR(VLOOKUP(U184,Images!$A:$C,3,FALSE),"")</f>
        <v/>
      </c>
      <c r="F184" s="65"/>
      <c r="G184" s="46" t="s">
        <v>358</v>
      </c>
      <c r="H184" s="64" t="str">
        <f>IFERROR(VLOOKUP(X184,Images!$A:$C,3,FALSE),X184)</f>
        <v>1 Hero Scroll</v>
      </c>
      <c r="I184" s="65"/>
      <c r="J184" s="43"/>
      <c r="K184" s="43"/>
      <c r="L184" s="43"/>
      <c r="M184" s="43"/>
      <c r="N184" s="43"/>
      <c r="O184" s="43"/>
      <c r="P184" s="43"/>
      <c r="Q184" s="43"/>
      <c r="R184" s="84" t="s">
        <v>10</v>
      </c>
      <c r="S184" s="65"/>
      <c r="T184" s="46" t="s">
        <v>357</v>
      </c>
      <c r="U184" s="84" t="s">
        <v>2</v>
      </c>
      <c r="V184" s="65"/>
      <c r="W184" s="46" t="s">
        <v>358</v>
      </c>
      <c r="X184" s="82" t="s">
        <v>253</v>
      </c>
      <c r="Y184" s="65"/>
      <c r="Z184" s="43"/>
    </row>
    <row r="185" spans="1:26" ht="37.5" customHeight="1">
      <c r="A185" s="43"/>
      <c r="B185" s="66" t="str">
        <f ca="1">IFERROR(VLOOKUP(R185,Images!$A:$C,3,FALSE),R185)</f>
        <v>Essence</v>
      </c>
      <c r="C185" s="65"/>
      <c r="D185" s="46" t="s">
        <v>357</v>
      </c>
      <c r="E185" s="66" t="str">
        <f ca="1">IFERROR(VLOOKUP(U185,Images!$A:$C,3,FALSE),"")</f>
        <v/>
      </c>
      <c r="F185" s="65"/>
      <c r="G185" s="46" t="s">
        <v>358</v>
      </c>
      <c r="H185" s="64" t="str">
        <f>IFERROR(VLOOKUP(X185,Images!$A:$C,3,FALSE),X185)</f>
        <v>95 Currency</v>
      </c>
      <c r="I185" s="65"/>
      <c r="J185" s="43"/>
      <c r="K185" s="43"/>
      <c r="L185" s="43"/>
      <c r="M185" s="43"/>
      <c r="N185" s="43"/>
      <c r="O185" s="43"/>
      <c r="P185" s="43"/>
      <c r="Q185" s="43"/>
      <c r="R185" s="84" t="s">
        <v>10</v>
      </c>
      <c r="S185" s="65"/>
      <c r="T185" s="46" t="s">
        <v>357</v>
      </c>
      <c r="U185" s="84" t="s">
        <v>3</v>
      </c>
      <c r="V185" s="65"/>
      <c r="W185" s="46" t="s">
        <v>358</v>
      </c>
      <c r="X185" s="82" t="s">
        <v>403</v>
      </c>
      <c r="Y185" s="65"/>
      <c r="Z185" s="43"/>
    </row>
    <row r="186" spans="1:26" ht="37.5" customHeight="1">
      <c r="A186" s="43"/>
      <c r="B186" s="66" t="str">
        <f ca="1">IFERROR(VLOOKUP(R186,Images!$A:$C,3,FALSE),R186)</f>
        <v>Essence</v>
      </c>
      <c r="C186" s="65"/>
      <c r="D186" s="46" t="s">
        <v>357</v>
      </c>
      <c r="E186" s="66" t="str">
        <f ca="1">IFERROR(VLOOKUP(U186,Images!$A:$C,3,FALSE),"")</f>
        <v/>
      </c>
      <c r="F186" s="65"/>
      <c r="G186" s="46" t="s">
        <v>358</v>
      </c>
      <c r="H186" s="64" t="str">
        <f>IFERROR(VLOOKUP(X186,Images!$A:$C,3,FALSE),X186)</f>
        <v>1 Fortune Scroll</v>
      </c>
      <c r="I186" s="65"/>
      <c r="J186" s="43"/>
      <c r="K186" s="43"/>
      <c r="L186" s="43"/>
      <c r="M186" s="43"/>
      <c r="N186" s="43"/>
      <c r="O186" s="43"/>
      <c r="P186" s="43"/>
      <c r="Q186" s="43"/>
      <c r="R186" s="84" t="s">
        <v>10</v>
      </c>
      <c r="S186" s="65"/>
      <c r="T186" s="46" t="s">
        <v>357</v>
      </c>
      <c r="U186" s="84" t="s">
        <v>4</v>
      </c>
      <c r="V186" s="65"/>
      <c r="W186" s="46" t="s">
        <v>358</v>
      </c>
      <c r="X186" s="82" t="s">
        <v>105</v>
      </c>
      <c r="Y186" s="65"/>
      <c r="Z186" s="43"/>
    </row>
    <row r="187" spans="1:26" ht="37.5" customHeight="1">
      <c r="A187" s="43"/>
      <c r="B187" s="66" t="str">
        <f ca="1">IFERROR(VLOOKUP(R187,Images!$A:$C,3,FALSE),R187)</f>
        <v>Essence</v>
      </c>
      <c r="C187" s="65"/>
      <c r="D187" s="46" t="s">
        <v>357</v>
      </c>
      <c r="E187" s="66" t="str">
        <f ca="1">IFERROR(VLOOKUP(U187,Images!$A:$C,3,FALSE),"")</f>
        <v/>
      </c>
      <c r="F187" s="65"/>
      <c r="G187" s="46" t="s">
        <v>358</v>
      </c>
      <c r="H187" s="64" t="str">
        <f>IFERROR(VLOOKUP(X187,Images!$A:$C,3,FALSE),X187)</f>
        <v>16 Pets</v>
      </c>
      <c r="I187" s="65"/>
      <c r="J187" s="43"/>
      <c r="K187" s="43"/>
      <c r="L187" s="43"/>
      <c r="M187" s="43"/>
      <c r="N187" s="43"/>
      <c r="O187" s="43"/>
      <c r="P187" s="43"/>
      <c r="Q187" s="43"/>
      <c r="R187" s="84" t="s">
        <v>10</v>
      </c>
      <c r="S187" s="65"/>
      <c r="T187" s="46" t="s">
        <v>357</v>
      </c>
      <c r="U187" s="84" t="s">
        <v>5</v>
      </c>
      <c r="V187" s="65"/>
      <c r="W187" s="46" t="s">
        <v>358</v>
      </c>
      <c r="X187" s="82" t="s">
        <v>412</v>
      </c>
      <c r="Y187" s="65"/>
      <c r="Z187" s="43"/>
    </row>
    <row r="188" spans="1:26" ht="37.5" customHeight="1">
      <c r="A188" s="43"/>
      <c r="B188" s="66" t="str">
        <f ca="1">IFERROR(VLOOKUP(R188,Images!$A:$C,3,FALSE),R188)</f>
        <v>Essence</v>
      </c>
      <c r="C188" s="65"/>
      <c r="D188" s="46" t="s">
        <v>357</v>
      </c>
      <c r="E188" s="66" t="str">
        <f ca="1">IFERROR(VLOOKUP(U188,Images!$A:$C,3,FALSE),"")</f>
        <v/>
      </c>
      <c r="F188" s="65"/>
      <c r="G188" s="46" t="s">
        <v>358</v>
      </c>
      <c r="H188" s="64" t="str">
        <f>IFERROR(VLOOKUP(X188,Images!$A:$C,3,FALSE),X188)</f>
        <v>112 Currency</v>
      </c>
      <c r="I188" s="65"/>
      <c r="J188" s="43"/>
      <c r="K188" s="43"/>
      <c r="L188" s="43"/>
      <c r="M188" s="43"/>
      <c r="N188" s="43"/>
      <c r="O188" s="43"/>
      <c r="P188" s="43"/>
      <c r="Q188" s="43"/>
      <c r="R188" s="84" t="s">
        <v>10</v>
      </c>
      <c r="S188" s="65"/>
      <c r="T188" s="46" t="s">
        <v>357</v>
      </c>
      <c r="U188" s="84" t="s">
        <v>6</v>
      </c>
      <c r="V188" s="65"/>
      <c r="W188" s="46" t="s">
        <v>358</v>
      </c>
      <c r="X188" s="82" t="s">
        <v>247</v>
      </c>
      <c r="Y188" s="65"/>
      <c r="Z188" s="43"/>
    </row>
    <row r="189" spans="1:26" ht="37.5" customHeight="1">
      <c r="A189" s="43"/>
      <c r="B189" s="66" t="str">
        <f ca="1">IFERROR(VLOOKUP(R189,Images!$A:$C,3,FALSE),R189)</f>
        <v>Essence</v>
      </c>
      <c r="C189" s="65"/>
      <c r="D189" s="46" t="s">
        <v>357</v>
      </c>
      <c r="E189" s="66" t="str">
        <f ca="1">IFERROR(VLOOKUP(U189,Images!$A:$C,3,FALSE),"")</f>
        <v/>
      </c>
      <c r="F189" s="65"/>
      <c r="G189" s="46" t="s">
        <v>358</v>
      </c>
      <c r="H189" s="64" t="str">
        <f>IFERROR(VLOOKUP(X189,Images!$A:$C,3,FALSE),X189)</f>
        <v>1170 Dust</v>
      </c>
      <c r="I189" s="65"/>
      <c r="J189" s="43"/>
      <c r="K189" s="43"/>
      <c r="L189" s="43"/>
      <c r="M189" s="43"/>
      <c r="N189" s="43"/>
      <c r="O189" s="43"/>
      <c r="P189" s="43"/>
      <c r="Q189" s="43"/>
      <c r="R189" s="84" t="s">
        <v>10</v>
      </c>
      <c r="S189" s="65"/>
      <c r="T189" s="46" t="s">
        <v>357</v>
      </c>
      <c r="U189" s="84" t="s">
        <v>7</v>
      </c>
      <c r="V189" s="65"/>
      <c r="W189" s="46" t="s">
        <v>358</v>
      </c>
      <c r="X189" s="82" t="s">
        <v>420</v>
      </c>
      <c r="Y189" s="65"/>
      <c r="Z189" s="43"/>
    </row>
    <row r="190" spans="1:26" ht="37.5" customHeight="1">
      <c r="A190" s="43"/>
      <c r="B190" s="66" t="str">
        <f ca="1">IFERROR(VLOOKUP(R190,Images!$A:$C,3,FALSE),R190)</f>
        <v>Essence</v>
      </c>
      <c r="C190" s="65"/>
      <c r="D190" s="46" t="s">
        <v>357</v>
      </c>
      <c r="E190" s="66" t="str">
        <f ca="1">IFERROR(VLOOKUP(U190,Images!$A:$C,3,FALSE),"")</f>
        <v/>
      </c>
      <c r="F190" s="65"/>
      <c r="G190" s="46" t="s">
        <v>358</v>
      </c>
      <c r="H190" s="64" t="str">
        <f>IFERROR(VLOOKUP(X190,Images!$A:$C,3,FALSE),X190)</f>
        <v>Legendary Equipment
(Toga Storm)</v>
      </c>
      <c r="I190" s="65"/>
      <c r="J190" s="43"/>
      <c r="K190" s="43"/>
      <c r="L190" s="43"/>
      <c r="M190" s="43"/>
      <c r="N190" s="43"/>
      <c r="O190" s="43"/>
      <c r="P190" s="43"/>
      <c r="Q190" s="43"/>
      <c r="R190" s="84" t="s">
        <v>10</v>
      </c>
      <c r="S190" s="65"/>
      <c r="T190" s="46" t="s">
        <v>357</v>
      </c>
      <c r="U190" s="84" t="s">
        <v>8</v>
      </c>
      <c r="V190" s="65"/>
      <c r="W190" s="46" t="s">
        <v>358</v>
      </c>
      <c r="X190" s="82" t="s">
        <v>424</v>
      </c>
      <c r="Y190" s="65"/>
      <c r="Z190" s="43"/>
    </row>
    <row r="191" spans="1:26" ht="37.5" customHeight="1">
      <c r="A191" s="43"/>
      <c r="B191" s="66" t="str">
        <f ca="1">IFERROR(VLOOKUP(R191,Images!$A:$C,3,FALSE),R191)</f>
        <v>Essence</v>
      </c>
      <c r="C191" s="65"/>
      <c r="D191" s="46" t="s">
        <v>357</v>
      </c>
      <c r="E191" s="66" t="str">
        <f ca="1">IFERROR(VLOOKUP(U191,Images!$A:$C,3,FALSE),"")</f>
        <v/>
      </c>
      <c r="F191" s="65"/>
      <c r="G191" s="46" t="s">
        <v>358</v>
      </c>
      <c r="H191" s="64" t="str">
        <f>IFERROR(VLOOKUP(X191,Images!$A:$C,3,FALSE),X191)</f>
        <v>1560 Dust</v>
      </c>
      <c r="I191" s="65"/>
      <c r="J191" s="43"/>
      <c r="K191" s="43"/>
      <c r="L191" s="43"/>
      <c r="M191" s="43"/>
      <c r="N191" s="43"/>
      <c r="O191" s="43"/>
      <c r="P191" s="43"/>
      <c r="Q191" s="43"/>
      <c r="R191" s="84" t="s">
        <v>10</v>
      </c>
      <c r="S191" s="65"/>
      <c r="T191" s="46" t="s">
        <v>357</v>
      </c>
      <c r="U191" s="84" t="s">
        <v>9</v>
      </c>
      <c r="V191" s="65"/>
      <c r="W191" s="46" t="s">
        <v>358</v>
      </c>
      <c r="X191" s="82" t="s">
        <v>429</v>
      </c>
      <c r="Y191" s="65"/>
      <c r="Z191" s="43"/>
    </row>
    <row r="192" spans="1:26" ht="37.5" customHeight="1">
      <c r="A192" s="43"/>
      <c r="B192" s="66" t="str">
        <f ca="1">IFERROR(VLOOKUP(R192,Images!$A:$C,3,FALSE),R192)</f>
        <v>Essence</v>
      </c>
      <c r="C192" s="65"/>
      <c r="D192" s="46" t="s">
        <v>357</v>
      </c>
      <c r="E192" s="66" t="str">
        <f ca="1">IFERROR(VLOOKUP(U192,Images!$A:$C,3,FALSE),"")</f>
        <v/>
      </c>
      <c r="F192" s="65"/>
      <c r="G192" s="46" t="s">
        <v>358</v>
      </c>
      <c r="H192" s="64" t="str">
        <f>IFERROR(VLOOKUP(X192,Images!$A:$C,3,FALSE),X192)</f>
        <v>158 Currency</v>
      </c>
      <c r="I192" s="65"/>
      <c r="J192" s="43"/>
      <c r="K192" s="43"/>
      <c r="L192" s="43"/>
      <c r="M192" s="43"/>
      <c r="N192" s="43"/>
      <c r="O192" s="43"/>
      <c r="P192" s="43"/>
      <c r="Q192" s="43"/>
      <c r="R192" s="84" t="s">
        <v>10</v>
      </c>
      <c r="S192" s="65"/>
      <c r="T192" s="46" t="s">
        <v>357</v>
      </c>
      <c r="U192" s="84" t="s">
        <v>10</v>
      </c>
      <c r="V192" s="65"/>
      <c r="W192" s="46" t="s">
        <v>358</v>
      </c>
      <c r="X192" s="82" t="s">
        <v>431</v>
      </c>
      <c r="Y192" s="65"/>
      <c r="Z192" s="43"/>
    </row>
    <row r="193" spans="1:26" ht="37.5" customHeight="1">
      <c r="A193" s="43"/>
      <c r="B193" s="66" t="str">
        <f ca="1">IFERROR(VLOOKUP(R193,Images!$A:$C,3,FALSE),R193)</f>
        <v>Essence</v>
      </c>
      <c r="C193" s="65"/>
      <c r="D193" s="46" t="s">
        <v>357</v>
      </c>
      <c r="E193" s="66" t="str">
        <f ca="1">IFERROR(VLOOKUP(U193,Images!$A:$C,3,FALSE),"")</f>
        <v/>
      </c>
      <c r="F193" s="65"/>
      <c r="G193" s="46" t="s">
        <v>358</v>
      </c>
      <c r="H193" s="64" t="str">
        <f>IFERROR(VLOOKUP(X193,Images!$A:$C,3,FALSE),X193)</f>
        <v>2 Hero Scrolls</v>
      </c>
      <c r="I193" s="65"/>
      <c r="J193" s="43"/>
      <c r="K193" s="43"/>
      <c r="L193" s="43"/>
      <c r="M193" s="43"/>
      <c r="N193" s="43"/>
      <c r="O193" s="43"/>
      <c r="P193" s="43"/>
      <c r="Q193" s="43"/>
      <c r="R193" s="84" t="s">
        <v>10</v>
      </c>
      <c r="S193" s="65"/>
      <c r="T193" s="46" t="s">
        <v>357</v>
      </c>
      <c r="U193" s="84" t="s">
        <v>11</v>
      </c>
      <c r="V193" s="65"/>
      <c r="W193" s="46" t="s">
        <v>358</v>
      </c>
      <c r="X193" s="82" t="s">
        <v>276</v>
      </c>
      <c r="Y193" s="65"/>
      <c r="Z193" s="43"/>
    </row>
    <row r="194" spans="1:26" ht="37.5" customHeight="1">
      <c r="A194" s="43"/>
      <c r="B194" s="66" t="str">
        <f ca="1">IFERROR(VLOOKUP(R194,Images!$A:$C,3,FALSE),R194)</f>
        <v>Essence</v>
      </c>
      <c r="C194" s="65"/>
      <c r="D194" s="46" t="s">
        <v>357</v>
      </c>
      <c r="E194" s="66" t="str">
        <f ca="1">IFERROR(VLOOKUP(U194,Images!$A:$C,3,FALSE),"")</f>
        <v/>
      </c>
      <c r="F194" s="65"/>
      <c r="G194" s="46" t="s">
        <v>358</v>
      </c>
      <c r="H194" s="64" t="str">
        <f>IFERROR(VLOOKUP(X194,Images!$A:$C,3,FALSE),X194)</f>
        <v>168 Currency</v>
      </c>
      <c r="I194" s="65"/>
      <c r="J194" s="43"/>
      <c r="K194" s="43"/>
      <c r="L194" s="43"/>
      <c r="M194" s="43"/>
      <c r="N194" s="43"/>
      <c r="O194" s="43"/>
      <c r="P194" s="43"/>
      <c r="Q194" s="43"/>
      <c r="R194" s="84" t="s">
        <v>10</v>
      </c>
      <c r="S194" s="65"/>
      <c r="T194" s="46" t="s">
        <v>357</v>
      </c>
      <c r="U194" s="84" t="s">
        <v>12</v>
      </c>
      <c r="V194" s="65"/>
      <c r="W194" s="46" t="s">
        <v>358</v>
      </c>
      <c r="X194" s="82" t="s">
        <v>309</v>
      </c>
      <c r="Y194" s="65"/>
      <c r="Z194" s="43"/>
    </row>
    <row r="195" spans="1:26" ht="37.5" customHeight="1">
      <c r="A195" s="43"/>
      <c r="B195" s="66" t="str">
        <f ca="1">IFERROR(VLOOKUP(R195,Images!$A:$C,3,FALSE),R195)</f>
        <v>Essence</v>
      </c>
      <c r="C195" s="65"/>
      <c r="D195" s="46" t="s">
        <v>357</v>
      </c>
      <c r="E195" s="66" t="str">
        <f ca="1">IFERROR(VLOOKUP(U195,Images!$A:$C,3,FALSE),"")</f>
        <v/>
      </c>
      <c r="F195" s="65"/>
      <c r="G195" s="46" t="s">
        <v>358</v>
      </c>
      <c r="H195" s="64" t="str">
        <f>IFERROR(VLOOKUP(X195,Images!$A:$C,3,FALSE),X195)</f>
        <v>2 Fortune Scrolls</v>
      </c>
      <c r="I195" s="65"/>
      <c r="J195" s="43"/>
      <c r="K195" s="43"/>
      <c r="L195" s="43"/>
      <c r="M195" s="43"/>
      <c r="N195" s="43"/>
      <c r="O195" s="43"/>
      <c r="P195" s="43"/>
      <c r="Q195" s="43"/>
      <c r="R195" s="84" t="s">
        <v>10</v>
      </c>
      <c r="S195" s="65"/>
      <c r="T195" s="46" t="s">
        <v>357</v>
      </c>
      <c r="U195" s="84" t="s">
        <v>13</v>
      </c>
      <c r="V195" s="65"/>
      <c r="W195" s="46" t="s">
        <v>358</v>
      </c>
      <c r="X195" s="82" t="s">
        <v>78</v>
      </c>
      <c r="Y195" s="65"/>
      <c r="Z195" s="43"/>
    </row>
    <row r="196" spans="1:26" ht="37.5" customHeight="1">
      <c r="A196" s="43"/>
      <c r="B196" s="43"/>
      <c r="C196" s="43"/>
      <c r="D196" s="43"/>
      <c r="E196" s="43"/>
      <c r="F196" s="43"/>
      <c r="G196" s="43"/>
      <c r="H196" s="67" t="str">
        <f>HYPERLINK("https://docs.google.com/spreadsheets/d/1o95Ipwx6NIyFV3LCz9LGNbH9_WELHF-pbpkM31YwXyY/edit#gid=0&amp;range=A1","Back to Top")</f>
        <v>Back to Top</v>
      </c>
      <c r="I196" s="65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83" t="s">
        <v>440</v>
      </c>
      <c r="Y196" s="65"/>
      <c r="Z196" s="43"/>
    </row>
    <row r="197" spans="1:26" ht="37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37.5" customHeight="1">
      <c r="A198" s="43"/>
      <c r="B198" s="68" t="str">
        <f>R198</f>
        <v>Power Recipes</v>
      </c>
      <c r="C198" s="69"/>
      <c r="D198" s="69"/>
      <c r="E198" s="69"/>
      <c r="F198" s="69"/>
      <c r="G198" s="69"/>
      <c r="H198" s="69"/>
      <c r="I198" s="65"/>
      <c r="J198" s="43"/>
      <c r="K198" s="43"/>
      <c r="L198" s="43"/>
      <c r="M198" s="43"/>
      <c r="N198" s="43"/>
      <c r="O198" s="43"/>
      <c r="P198" s="43"/>
      <c r="Q198" s="43"/>
      <c r="R198" s="85" t="s">
        <v>451</v>
      </c>
      <c r="S198" s="69"/>
      <c r="T198" s="69"/>
      <c r="U198" s="69"/>
      <c r="V198" s="69"/>
      <c r="W198" s="69"/>
      <c r="X198" s="69"/>
      <c r="Y198" s="65"/>
      <c r="Z198" s="43"/>
    </row>
    <row r="199" spans="1:26" ht="37.5" customHeight="1">
      <c r="A199" s="43"/>
      <c r="B199" s="66" t="str">
        <f ca="1">IFERROR(VLOOKUP(R199,Images!$A:$C,3,FALSE),R199)</f>
        <v>Power</v>
      </c>
      <c r="C199" s="65"/>
      <c r="D199" s="46" t="s">
        <v>357</v>
      </c>
      <c r="E199" s="66" t="str">
        <f ca="1">IFERROR(VLOOKUP(U199,Images!$A:$C,3,FALSE),"")</f>
        <v/>
      </c>
      <c r="F199" s="65"/>
      <c r="G199" s="46" t="s">
        <v>358</v>
      </c>
      <c r="H199" s="64">
        <f>IFERROR(VLOOKUP(X199,Images!$A:$C,3,FALSE),X199)</f>
        <v>0</v>
      </c>
      <c r="I199" s="65"/>
      <c r="J199" s="43"/>
      <c r="K199" s="43"/>
      <c r="L199" s="43"/>
      <c r="M199" s="43"/>
      <c r="N199" s="43"/>
      <c r="O199" s="43"/>
      <c r="P199" s="43"/>
      <c r="Q199" s="43"/>
      <c r="R199" s="84" t="s">
        <v>11</v>
      </c>
      <c r="S199" s="65"/>
      <c r="T199" s="46" t="s">
        <v>357</v>
      </c>
      <c r="U199" s="84" t="s">
        <v>0</v>
      </c>
      <c r="V199" s="65"/>
      <c r="W199" s="46" t="s">
        <v>358</v>
      </c>
      <c r="X199" s="82"/>
      <c r="Y199" s="65"/>
      <c r="Z199" s="43"/>
    </row>
    <row r="200" spans="1:26" ht="37.5" customHeight="1">
      <c r="A200" s="43"/>
      <c r="B200" s="66" t="str">
        <f ca="1">IFERROR(VLOOKUP(R200,Images!$A:$C,3,FALSE),R200)</f>
        <v>Power</v>
      </c>
      <c r="C200" s="65"/>
      <c r="D200" s="46" t="s">
        <v>357</v>
      </c>
      <c r="E200" s="66" t="str">
        <f ca="1">IFERROR(VLOOKUP(U200,Images!$A:$C,3,FALSE),"")</f>
        <v/>
      </c>
      <c r="F200" s="65"/>
      <c r="G200" s="46" t="s">
        <v>358</v>
      </c>
      <c r="H200" s="64" t="str">
        <f>IFERROR(VLOOKUP(X200,Images!$A:$C,3,FALSE),X200)</f>
        <v>2 Hero Weapons</v>
      </c>
      <c r="I200" s="65"/>
      <c r="J200" s="43"/>
      <c r="K200" s="43"/>
      <c r="L200" s="43"/>
      <c r="M200" s="43"/>
      <c r="N200" s="43"/>
      <c r="O200" s="43"/>
      <c r="P200" s="43"/>
      <c r="Q200" s="43"/>
      <c r="R200" s="84" t="s">
        <v>11</v>
      </c>
      <c r="S200" s="65"/>
      <c r="T200" s="46" t="s">
        <v>357</v>
      </c>
      <c r="U200" s="84" t="s">
        <v>1</v>
      </c>
      <c r="V200" s="65"/>
      <c r="W200" s="46" t="s">
        <v>358</v>
      </c>
      <c r="X200" s="82" t="s">
        <v>35</v>
      </c>
      <c r="Y200" s="65"/>
      <c r="Z200" s="43"/>
    </row>
    <row r="201" spans="1:26" ht="37.5" customHeight="1">
      <c r="A201" s="43"/>
      <c r="B201" s="66" t="str">
        <f ca="1">IFERROR(VLOOKUP(R201,Images!$A:$C,3,FALSE),R201)</f>
        <v>Power</v>
      </c>
      <c r="C201" s="65"/>
      <c r="D201" s="46" t="s">
        <v>357</v>
      </c>
      <c r="E201" s="66" t="str">
        <f ca="1">IFERROR(VLOOKUP(U201,Images!$A:$C,3,FALSE),"")</f>
        <v/>
      </c>
      <c r="F201" s="65"/>
      <c r="G201" s="46" t="s">
        <v>358</v>
      </c>
      <c r="H201" s="64" t="str">
        <f>IFERROR(VLOOKUP(X201,Images!$A:$C,3,FALSE),X201)</f>
        <v>1 Skill Point</v>
      </c>
      <c r="I201" s="65"/>
      <c r="J201" s="43"/>
      <c r="K201" s="43"/>
      <c r="L201" s="43"/>
      <c r="M201" s="43"/>
      <c r="N201" s="43"/>
      <c r="O201" s="43"/>
      <c r="P201" s="43"/>
      <c r="Q201" s="43"/>
      <c r="R201" s="84" t="s">
        <v>11</v>
      </c>
      <c r="S201" s="65"/>
      <c r="T201" s="46" t="s">
        <v>357</v>
      </c>
      <c r="U201" s="84" t="s">
        <v>2</v>
      </c>
      <c r="V201" s="65"/>
      <c r="W201" s="46" t="s">
        <v>358</v>
      </c>
      <c r="X201" s="82" t="s">
        <v>106</v>
      </c>
      <c r="Y201" s="65"/>
      <c r="Z201" s="43"/>
    </row>
    <row r="202" spans="1:26" ht="37.5" customHeight="1">
      <c r="A202" s="43"/>
      <c r="B202" s="66" t="str">
        <f ca="1">IFERROR(VLOOKUP(R202,Images!$A:$C,3,FALSE),R202)</f>
        <v>Power</v>
      </c>
      <c r="C202" s="65"/>
      <c r="D202" s="46" t="s">
        <v>357</v>
      </c>
      <c r="E202" s="66" t="str">
        <f ca="1">IFERROR(VLOOKUP(U202,Images!$A:$C,3,FALSE),"")</f>
        <v/>
      </c>
      <c r="F202" s="65"/>
      <c r="G202" s="46" t="s">
        <v>358</v>
      </c>
      <c r="H202" s="64" t="str">
        <f>IFERROR(VLOOKUP(X202,Images!$A:$C,3,FALSE),X202)</f>
        <v>100 Currency</v>
      </c>
      <c r="I202" s="65"/>
      <c r="J202" s="43"/>
      <c r="K202" s="43"/>
      <c r="L202" s="43"/>
      <c r="M202" s="43"/>
      <c r="N202" s="43"/>
      <c r="O202" s="43"/>
      <c r="P202" s="43"/>
      <c r="Q202" s="43"/>
      <c r="R202" s="84" t="s">
        <v>11</v>
      </c>
      <c r="S202" s="65"/>
      <c r="T202" s="46" t="s">
        <v>357</v>
      </c>
      <c r="U202" s="84" t="s">
        <v>3</v>
      </c>
      <c r="V202" s="65"/>
      <c r="W202" s="46" t="s">
        <v>358</v>
      </c>
      <c r="X202" s="82" t="s">
        <v>404</v>
      </c>
      <c r="Y202" s="65"/>
      <c r="Z202" s="43"/>
    </row>
    <row r="203" spans="1:26" ht="37.5" customHeight="1">
      <c r="A203" s="43"/>
      <c r="B203" s="66" t="str">
        <f ca="1">IFERROR(VLOOKUP(R203,Images!$A:$C,3,FALSE),R203)</f>
        <v>Power</v>
      </c>
      <c r="C203" s="65"/>
      <c r="D203" s="46" t="s">
        <v>357</v>
      </c>
      <c r="E203" s="66" t="str">
        <f ca="1">IFERROR(VLOOKUP(U203,Images!$A:$C,3,FALSE),"")</f>
        <v/>
      </c>
      <c r="F203" s="65"/>
      <c r="G203" s="46" t="s">
        <v>358</v>
      </c>
      <c r="H203" s="64" t="str">
        <f>IFERROR(VLOOKUP(X203,Images!$A:$C,3,FALSE),X203)</f>
        <v>105 Currency</v>
      </c>
      <c r="I203" s="65"/>
      <c r="J203" s="43"/>
      <c r="K203" s="43"/>
      <c r="L203" s="43"/>
      <c r="M203" s="43"/>
      <c r="N203" s="43"/>
      <c r="O203" s="43"/>
      <c r="P203" s="43"/>
      <c r="Q203" s="43"/>
      <c r="R203" s="84" t="s">
        <v>11</v>
      </c>
      <c r="S203" s="65"/>
      <c r="T203" s="46" t="s">
        <v>357</v>
      </c>
      <c r="U203" s="84" t="s">
        <v>4</v>
      </c>
      <c r="V203" s="65"/>
      <c r="W203" s="46" t="s">
        <v>358</v>
      </c>
      <c r="X203" s="82" t="s">
        <v>400</v>
      </c>
      <c r="Y203" s="65"/>
      <c r="Z203" s="43"/>
    </row>
    <row r="204" spans="1:26" ht="37.5" customHeight="1">
      <c r="A204" s="43"/>
      <c r="B204" s="66" t="str">
        <f ca="1">IFERROR(VLOOKUP(R204,Images!$A:$C,3,FALSE),R204)</f>
        <v>Power</v>
      </c>
      <c r="C204" s="65"/>
      <c r="D204" s="46" t="s">
        <v>357</v>
      </c>
      <c r="E204" s="66" t="str">
        <f ca="1">IFERROR(VLOOKUP(U204,Images!$A:$C,3,FALSE),"")</f>
        <v/>
      </c>
      <c r="F204" s="65"/>
      <c r="G204" s="46" t="s">
        <v>358</v>
      </c>
      <c r="H204" s="64" t="str">
        <f>IFERROR(VLOOKUP(X204,Images!$A:$C,3,FALSE),X204)</f>
        <v>2 Fortune Weapons</v>
      </c>
      <c r="I204" s="65"/>
      <c r="J204" s="43"/>
      <c r="K204" s="43"/>
      <c r="L204" s="43"/>
      <c r="M204" s="43"/>
      <c r="N204" s="43"/>
      <c r="O204" s="43"/>
      <c r="P204" s="43"/>
      <c r="Q204" s="43"/>
      <c r="R204" s="84" t="s">
        <v>11</v>
      </c>
      <c r="S204" s="65"/>
      <c r="T204" s="46" t="s">
        <v>357</v>
      </c>
      <c r="U204" s="84" t="s">
        <v>5</v>
      </c>
      <c r="V204" s="65"/>
      <c r="W204" s="46" t="s">
        <v>358</v>
      </c>
      <c r="X204" s="82" t="s">
        <v>413</v>
      </c>
      <c r="Y204" s="65"/>
      <c r="Z204" s="43"/>
    </row>
    <row r="205" spans="1:26" ht="37.5" customHeight="1">
      <c r="A205" s="43"/>
      <c r="B205" s="66" t="str">
        <f ca="1">IFERROR(VLOOKUP(R205,Images!$A:$C,3,FALSE),R205)</f>
        <v>Power</v>
      </c>
      <c r="C205" s="65"/>
      <c r="D205" s="46" t="s">
        <v>357</v>
      </c>
      <c r="E205" s="66" t="str">
        <f ca="1">IFERROR(VLOOKUP(U205,Images!$A:$C,3,FALSE),"")</f>
        <v/>
      </c>
      <c r="F205" s="65"/>
      <c r="G205" s="46" t="s">
        <v>358</v>
      </c>
      <c r="H205" s="64" t="str">
        <f>IFERROR(VLOOKUP(X205,Images!$A:$C,3,FALSE),X205)</f>
        <v>14 Shards</v>
      </c>
      <c r="I205" s="65"/>
      <c r="J205" s="43"/>
      <c r="K205" s="43"/>
      <c r="L205" s="43"/>
      <c r="M205" s="43"/>
      <c r="N205" s="43"/>
      <c r="O205" s="43"/>
      <c r="P205" s="43"/>
      <c r="Q205" s="43"/>
      <c r="R205" s="84" t="s">
        <v>11</v>
      </c>
      <c r="S205" s="65"/>
      <c r="T205" s="46" t="s">
        <v>357</v>
      </c>
      <c r="U205" s="84" t="s">
        <v>6</v>
      </c>
      <c r="V205" s="65"/>
      <c r="W205" s="46" t="s">
        <v>358</v>
      </c>
      <c r="X205" s="82" t="s">
        <v>417</v>
      </c>
      <c r="Y205" s="65"/>
      <c r="Z205" s="43"/>
    </row>
    <row r="206" spans="1:26" ht="37.5" customHeight="1">
      <c r="A206" s="43"/>
      <c r="B206" s="66" t="str">
        <f ca="1">IFERROR(VLOOKUP(R206,Images!$A:$C,3,FALSE),R206)</f>
        <v>Power</v>
      </c>
      <c r="C206" s="65"/>
      <c r="D206" s="46" t="s">
        <v>357</v>
      </c>
      <c r="E206" s="66" t="str">
        <f ca="1">IFERROR(VLOOKUP(U206,Images!$A:$C,3,FALSE),"")</f>
        <v/>
      </c>
      <c r="F206" s="65"/>
      <c r="G206" s="46" t="s">
        <v>358</v>
      </c>
      <c r="H206" s="64" t="str">
        <f>IFERROR(VLOOKUP(X206,Images!$A:$C,3,FALSE),X206)</f>
        <v>1 Skill Point</v>
      </c>
      <c r="I206" s="65"/>
      <c r="J206" s="43"/>
      <c r="K206" s="43"/>
      <c r="L206" s="43"/>
      <c r="M206" s="43"/>
      <c r="N206" s="43"/>
      <c r="O206" s="43"/>
      <c r="P206" s="43"/>
      <c r="Q206" s="43"/>
      <c r="R206" s="84" t="s">
        <v>11</v>
      </c>
      <c r="S206" s="65"/>
      <c r="T206" s="46" t="s">
        <v>357</v>
      </c>
      <c r="U206" s="84" t="s">
        <v>7</v>
      </c>
      <c r="V206" s="65"/>
      <c r="W206" s="46" t="s">
        <v>358</v>
      </c>
      <c r="X206" s="82" t="s">
        <v>106</v>
      </c>
      <c r="Y206" s="65"/>
      <c r="Z206" s="43"/>
    </row>
    <row r="207" spans="1:26" ht="37.5" customHeight="1">
      <c r="A207" s="43"/>
      <c r="B207" s="66" t="str">
        <f ca="1">IFERROR(VLOOKUP(R207,Images!$A:$C,3,FALSE),R207)</f>
        <v>Power</v>
      </c>
      <c r="C207" s="65"/>
      <c r="D207" s="46" t="s">
        <v>357</v>
      </c>
      <c r="E207" s="66" t="str">
        <f ca="1">IFERROR(VLOOKUP(U207,Images!$A:$C,3,FALSE),"")</f>
        <v/>
      </c>
      <c r="F207" s="65"/>
      <c r="G207" s="46" t="s">
        <v>358</v>
      </c>
      <c r="H207" s="64" t="str">
        <f>IFERROR(VLOOKUP(X207,Images!$A:$C,3,FALSE),X207)</f>
        <v>Legendary Equipment</v>
      </c>
      <c r="I207" s="65"/>
      <c r="J207" s="43"/>
      <c r="K207" s="43"/>
      <c r="L207" s="43"/>
      <c r="M207" s="43"/>
      <c r="N207" s="43"/>
      <c r="O207" s="43"/>
      <c r="P207" s="43"/>
      <c r="Q207" s="43"/>
      <c r="R207" s="84" t="s">
        <v>11</v>
      </c>
      <c r="S207" s="65"/>
      <c r="T207" s="46" t="s">
        <v>357</v>
      </c>
      <c r="U207" s="84" t="s">
        <v>8</v>
      </c>
      <c r="V207" s="65"/>
      <c r="W207" s="46" t="s">
        <v>358</v>
      </c>
      <c r="X207" s="82" t="s">
        <v>425</v>
      </c>
      <c r="Y207" s="65"/>
      <c r="Z207" s="43"/>
    </row>
    <row r="208" spans="1:26" ht="37.5" customHeight="1">
      <c r="A208" s="43"/>
      <c r="B208" s="66" t="str">
        <f ca="1">IFERROR(VLOOKUP(R208,Images!$A:$C,3,FALSE),R208)</f>
        <v>Power</v>
      </c>
      <c r="C208" s="65"/>
      <c r="D208" s="46" t="s">
        <v>357</v>
      </c>
      <c r="E208" s="66" t="str">
        <f ca="1">IFERROR(VLOOKUP(U208,Images!$A:$C,3,FALSE),"")</f>
        <v/>
      </c>
      <c r="F208" s="65"/>
      <c r="G208" s="46" t="s">
        <v>358</v>
      </c>
      <c r="H208" s="64" t="str">
        <f>IFERROR(VLOOKUP(X208,Images!$A:$C,3,FALSE),X208)</f>
        <v>3 Hero Weapons</v>
      </c>
      <c r="I208" s="65"/>
      <c r="J208" s="43"/>
      <c r="K208" s="43"/>
      <c r="L208" s="43"/>
      <c r="M208" s="43"/>
      <c r="N208" s="43"/>
      <c r="O208" s="43"/>
      <c r="P208" s="43"/>
      <c r="Q208" s="43"/>
      <c r="R208" s="84" t="s">
        <v>11</v>
      </c>
      <c r="S208" s="65"/>
      <c r="T208" s="46" t="s">
        <v>357</v>
      </c>
      <c r="U208" s="84" t="s">
        <v>9</v>
      </c>
      <c r="V208" s="65"/>
      <c r="W208" s="46" t="s">
        <v>358</v>
      </c>
      <c r="X208" s="82" t="s">
        <v>171</v>
      </c>
      <c r="Y208" s="65"/>
      <c r="Z208" s="43"/>
    </row>
    <row r="209" spans="1:26" ht="37.5" customHeight="1">
      <c r="A209" s="43"/>
      <c r="B209" s="66" t="str">
        <f ca="1">IFERROR(VLOOKUP(R209,Images!$A:$C,3,FALSE),R209)</f>
        <v>Power</v>
      </c>
      <c r="C209" s="65"/>
      <c r="D209" s="46" t="s">
        <v>357</v>
      </c>
      <c r="E209" s="66" t="str">
        <f ca="1">IFERROR(VLOOKUP(U209,Images!$A:$C,3,FALSE),"")</f>
        <v/>
      </c>
      <c r="F209" s="65"/>
      <c r="G209" s="46" t="s">
        <v>358</v>
      </c>
      <c r="H209" s="64" t="str">
        <f>IFERROR(VLOOKUP(X209,Images!$A:$C,3,FALSE),X209)</f>
        <v>2 Hero Scrolls</v>
      </c>
      <c r="I209" s="65"/>
      <c r="J209" s="43"/>
      <c r="K209" s="43"/>
      <c r="L209" s="43"/>
      <c r="M209" s="43"/>
      <c r="N209" s="43"/>
      <c r="O209" s="43"/>
      <c r="P209" s="43"/>
      <c r="Q209" s="43"/>
      <c r="R209" s="84" t="s">
        <v>11</v>
      </c>
      <c r="S209" s="65"/>
      <c r="T209" s="46" t="s">
        <v>357</v>
      </c>
      <c r="U209" s="84" t="s">
        <v>10</v>
      </c>
      <c r="V209" s="65"/>
      <c r="W209" s="46" t="s">
        <v>358</v>
      </c>
      <c r="X209" s="82" t="s">
        <v>276</v>
      </c>
      <c r="Y209" s="65"/>
      <c r="Z209" s="43"/>
    </row>
    <row r="210" spans="1:26" ht="37.5" customHeight="1">
      <c r="A210" s="43"/>
      <c r="B210" s="66" t="str">
        <f ca="1">IFERROR(VLOOKUP(R210,Images!$A:$C,3,FALSE),R210)</f>
        <v>Power</v>
      </c>
      <c r="C210" s="65"/>
      <c r="D210" s="46" t="s">
        <v>357</v>
      </c>
      <c r="E210" s="66" t="str">
        <f ca="1">IFERROR(VLOOKUP(U210,Images!$A:$C,3,FALSE),"")</f>
        <v/>
      </c>
      <c r="F210" s="65"/>
      <c r="G210" s="46" t="s">
        <v>358</v>
      </c>
      <c r="H210" s="64" t="str">
        <f>IFERROR(VLOOKUP(X210,Images!$A:$C,3,FALSE),X210)</f>
        <v>168 Currency</v>
      </c>
      <c r="I210" s="65"/>
      <c r="J210" s="43"/>
      <c r="K210" s="43"/>
      <c r="L210" s="43"/>
      <c r="M210" s="43"/>
      <c r="N210" s="43"/>
      <c r="O210" s="43"/>
      <c r="P210" s="43"/>
      <c r="Q210" s="43"/>
      <c r="R210" s="84" t="s">
        <v>11</v>
      </c>
      <c r="S210" s="65"/>
      <c r="T210" s="46" t="s">
        <v>357</v>
      </c>
      <c r="U210" s="84" t="s">
        <v>11</v>
      </c>
      <c r="V210" s="65"/>
      <c r="W210" s="46" t="s">
        <v>358</v>
      </c>
      <c r="X210" s="82" t="s">
        <v>309</v>
      </c>
      <c r="Y210" s="65"/>
      <c r="Z210" s="43"/>
    </row>
    <row r="211" spans="1:26" ht="37.5" customHeight="1">
      <c r="A211" s="43"/>
      <c r="B211" s="66" t="str">
        <f ca="1">IFERROR(VLOOKUP(R211,Images!$A:$C,3,FALSE),R211)</f>
        <v>Power</v>
      </c>
      <c r="C211" s="65"/>
      <c r="D211" s="46" t="s">
        <v>357</v>
      </c>
      <c r="E211" s="66" t="str">
        <f ca="1">IFERROR(VLOOKUP(U211,Images!$A:$C,3,FALSE),"")</f>
        <v/>
      </c>
      <c r="F211" s="65"/>
      <c r="G211" s="46" t="s">
        <v>358</v>
      </c>
      <c r="H211" s="64" t="str">
        <f>IFERROR(VLOOKUP(X211,Images!$A:$C,3,FALSE),X211)</f>
        <v>173 Currency</v>
      </c>
      <c r="I211" s="65"/>
      <c r="J211" s="43"/>
      <c r="K211" s="43"/>
      <c r="L211" s="43"/>
      <c r="M211" s="43"/>
      <c r="N211" s="43"/>
      <c r="O211" s="43"/>
      <c r="P211" s="43"/>
      <c r="Q211" s="43"/>
      <c r="R211" s="84" t="s">
        <v>11</v>
      </c>
      <c r="S211" s="65"/>
      <c r="T211" s="46" t="s">
        <v>357</v>
      </c>
      <c r="U211" s="84" t="s">
        <v>12</v>
      </c>
      <c r="V211" s="65"/>
      <c r="W211" s="46" t="s">
        <v>358</v>
      </c>
      <c r="X211" s="82" t="s">
        <v>199</v>
      </c>
      <c r="Y211" s="65"/>
      <c r="Z211" s="43"/>
    </row>
    <row r="212" spans="1:26" ht="37.5" customHeight="1">
      <c r="A212" s="43"/>
      <c r="B212" s="66" t="str">
        <f ca="1">IFERROR(VLOOKUP(R212,Images!$A:$C,3,FALSE),R212)</f>
        <v>Power</v>
      </c>
      <c r="C212" s="65"/>
      <c r="D212" s="46" t="s">
        <v>357</v>
      </c>
      <c r="E212" s="66" t="str">
        <f ca="1">IFERROR(VLOOKUP(U212,Images!$A:$C,3,FALSE),"")</f>
        <v/>
      </c>
      <c r="F212" s="65"/>
      <c r="G212" s="46" t="s">
        <v>358</v>
      </c>
      <c r="H212" s="64" t="str">
        <f>IFERROR(VLOOKUP(X212,Images!$A:$C,3,FALSE),X212)</f>
        <v>3 Fortune Weapons</v>
      </c>
      <c r="I212" s="65"/>
      <c r="J212" s="43"/>
      <c r="K212" s="43"/>
      <c r="L212" s="43"/>
      <c r="M212" s="43"/>
      <c r="N212" s="43"/>
      <c r="O212" s="43"/>
      <c r="P212" s="43"/>
      <c r="Q212" s="43"/>
      <c r="R212" s="84" t="s">
        <v>11</v>
      </c>
      <c r="S212" s="65"/>
      <c r="T212" s="46" t="s">
        <v>357</v>
      </c>
      <c r="U212" s="84" t="s">
        <v>13</v>
      </c>
      <c r="V212" s="65"/>
      <c r="W212" s="46" t="s">
        <v>358</v>
      </c>
      <c r="X212" s="82" t="s">
        <v>432</v>
      </c>
      <c r="Y212" s="65"/>
      <c r="Z212" s="43"/>
    </row>
    <row r="213" spans="1:26" ht="37.5" customHeight="1">
      <c r="A213" s="43"/>
      <c r="B213" s="43"/>
      <c r="C213" s="43"/>
      <c r="D213" s="43"/>
      <c r="E213" s="43"/>
      <c r="F213" s="43"/>
      <c r="G213" s="43"/>
      <c r="H213" s="67" t="str">
        <f>HYPERLINK("https://docs.google.com/spreadsheets/d/1o95Ipwx6NIyFV3LCz9LGNbH9_WELHF-pbpkM31YwXyY/edit#gid=0&amp;range=A1","Back to Top")</f>
        <v>Back to Top</v>
      </c>
      <c r="I213" s="65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83" t="s">
        <v>440</v>
      </c>
      <c r="Y213" s="65"/>
      <c r="Z213" s="43"/>
    </row>
    <row r="214" spans="1:26" ht="37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37.5" customHeight="1">
      <c r="A215" s="43"/>
      <c r="B215" s="68" t="str">
        <f>R215</f>
        <v>Shadow Recipes</v>
      </c>
      <c r="C215" s="69"/>
      <c r="D215" s="69"/>
      <c r="E215" s="69"/>
      <c r="F215" s="69"/>
      <c r="G215" s="69"/>
      <c r="H215" s="69"/>
      <c r="I215" s="65"/>
      <c r="J215" s="43"/>
      <c r="K215" s="43"/>
      <c r="L215" s="43"/>
      <c r="M215" s="43"/>
      <c r="N215" s="43"/>
      <c r="O215" s="43"/>
      <c r="P215" s="43"/>
      <c r="Q215" s="43"/>
      <c r="R215" s="85" t="s">
        <v>452</v>
      </c>
      <c r="S215" s="69"/>
      <c r="T215" s="69"/>
      <c r="U215" s="69"/>
      <c r="V215" s="69"/>
      <c r="W215" s="69"/>
      <c r="X215" s="69"/>
      <c r="Y215" s="65"/>
      <c r="Z215" s="43"/>
    </row>
    <row r="216" spans="1:26" ht="37.5" customHeight="1">
      <c r="A216" s="43"/>
      <c r="B216" s="66" t="str">
        <f ca="1">IFERROR(VLOOKUP(R216,Images!$A:$C,3,FALSE),R216)</f>
        <v>Shadow</v>
      </c>
      <c r="C216" s="65"/>
      <c r="D216" s="46" t="s">
        <v>357</v>
      </c>
      <c r="E216" s="66" t="str">
        <f ca="1">IFERROR(VLOOKUP(U216,Images!$A:$C,3,FALSE),"")</f>
        <v/>
      </c>
      <c r="F216" s="65"/>
      <c r="G216" s="46" t="s">
        <v>358</v>
      </c>
      <c r="H216" s="64" t="str">
        <f>IFERROR(VLOOKUP(X216,Images!$A:$C,3,FALSE),X216)</f>
        <v>47 Wildcards</v>
      </c>
      <c r="I216" s="65"/>
      <c r="J216" s="43"/>
      <c r="K216" s="43"/>
      <c r="L216" s="43"/>
      <c r="M216" s="43"/>
      <c r="N216" s="43"/>
      <c r="O216" s="43"/>
      <c r="P216" s="43"/>
      <c r="Q216" s="43"/>
      <c r="R216" s="84" t="s">
        <v>12</v>
      </c>
      <c r="S216" s="65"/>
      <c r="T216" s="46" t="s">
        <v>357</v>
      </c>
      <c r="U216" s="84" t="s">
        <v>0</v>
      </c>
      <c r="V216" s="65"/>
      <c r="W216" s="46" t="s">
        <v>358</v>
      </c>
      <c r="X216" s="82" t="s">
        <v>390</v>
      </c>
      <c r="Y216" s="65"/>
      <c r="Z216" s="43"/>
    </row>
    <row r="217" spans="1:26" ht="37.5" customHeight="1">
      <c r="A217" s="43"/>
      <c r="B217" s="66" t="str">
        <f ca="1">IFERROR(VLOOKUP(R217,Images!$A:$C,3,FALSE),R217)</f>
        <v>Shadow</v>
      </c>
      <c r="C217" s="65"/>
      <c r="D217" s="46" t="s">
        <v>357</v>
      </c>
      <c r="E217" s="66" t="str">
        <f ca="1">IFERROR(VLOOKUP(U217,Images!$A:$C,3,FALSE),"")</f>
        <v/>
      </c>
      <c r="F217" s="65"/>
      <c r="G217" s="46" t="s">
        <v>358</v>
      </c>
      <c r="H217" s="64" t="str">
        <f>IFERROR(VLOOKUP(X217,Images!$A:$C,3,FALSE),X217)</f>
        <v>47 Wildcards</v>
      </c>
      <c r="I217" s="65"/>
      <c r="J217" s="43"/>
      <c r="K217" s="43"/>
      <c r="L217" s="43"/>
      <c r="M217" s="43"/>
      <c r="N217" s="43"/>
      <c r="O217" s="43"/>
      <c r="P217" s="43"/>
      <c r="Q217" s="43"/>
      <c r="R217" s="84" t="s">
        <v>12</v>
      </c>
      <c r="S217" s="65"/>
      <c r="T217" s="46" t="s">
        <v>357</v>
      </c>
      <c r="U217" s="84" t="s">
        <v>1</v>
      </c>
      <c r="V217" s="65"/>
      <c r="W217" s="46" t="s">
        <v>358</v>
      </c>
      <c r="X217" s="82" t="s">
        <v>390</v>
      </c>
      <c r="Y217" s="65"/>
      <c r="Z217" s="43"/>
    </row>
    <row r="218" spans="1:26" ht="37.5" customHeight="1">
      <c r="A218" s="43"/>
      <c r="B218" s="66" t="str">
        <f ca="1">IFERROR(VLOOKUP(R218,Images!$A:$C,3,FALSE),R218)</f>
        <v>Shadow</v>
      </c>
      <c r="C218" s="65"/>
      <c r="D218" s="46" t="s">
        <v>357</v>
      </c>
      <c r="E218" s="66" t="str">
        <f ca="1">IFERROR(VLOOKUP(U218,Images!$A:$C,3,FALSE),"")</f>
        <v/>
      </c>
      <c r="F218" s="65"/>
      <c r="G218" s="46" t="s">
        <v>358</v>
      </c>
      <c r="H218" s="64" t="str">
        <f>IFERROR(VLOOKUP(X218,Images!$A:$C,3,FALSE),X218)</f>
        <v>49 Wildcards</v>
      </c>
      <c r="I218" s="65"/>
      <c r="J218" s="43"/>
      <c r="K218" s="43"/>
      <c r="L218" s="43"/>
      <c r="M218" s="43"/>
      <c r="N218" s="43"/>
      <c r="O218" s="43"/>
      <c r="P218" s="43"/>
      <c r="Q218" s="43"/>
      <c r="R218" s="84" t="s">
        <v>12</v>
      </c>
      <c r="S218" s="65"/>
      <c r="T218" s="46" t="s">
        <v>357</v>
      </c>
      <c r="U218" s="84" t="s">
        <v>2</v>
      </c>
      <c r="V218" s="65"/>
      <c r="W218" s="46" t="s">
        <v>358</v>
      </c>
      <c r="X218" s="82" t="s">
        <v>399</v>
      </c>
      <c r="Y218" s="65"/>
      <c r="Z218" s="43"/>
    </row>
    <row r="219" spans="1:26" ht="37.5" customHeight="1">
      <c r="A219" s="43"/>
      <c r="B219" s="66" t="str">
        <f ca="1">IFERROR(VLOOKUP(R219,Images!$A:$C,3,FALSE),R219)</f>
        <v>Shadow</v>
      </c>
      <c r="C219" s="65"/>
      <c r="D219" s="46" t="s">
        <v>357</v>
      </c>
      <c r="E219" s="66" t="str">
        <f ca="1">IFERROR(VLOOKUP(U219,Images!$A:$C,3,FALSE),"")</f>
        <v/>
      </c>
      <c r="F219" s="65"/>
      <c r="G219" s="46" t="s">
        <v>358</v>
      </c>
      <c r="H219" s="64" t="str">
        <f>IFERROR(VLOOKUP(X219,Images!$A:$C,3,FALSE),X219)</f>
        <v>52 Wildcards</v>
      </c>
      <c r="I219" s="65"/>
      <c r="J219" s="43"/>
      <c r="K219" s="43"/>
      <c r="L219" s="43"/>
      <c r="M219" s="43"/>
      <c r="N219" s="43"/>
      <c r="O219" s="43"/>
      <c r="P219" s="43"/>
      <c r="Q219" s="43"/>
      <c r="R219" s="84" t="s">
        <v>12</v>
      </c>
      <c r="S219" s="65"/>
      <c r="T219" s="46" t="s">
        <v>357</v>
      </c>
      <c r="U219" s="84" t="s">
        <v>3</v>
      </c>
      <c r="V219" s="65"/>
      <c r="W219" s="46" t="s">
        <v>358</v>
      </c>
      <c r="X219" s="82" t="s">
        <v>405</v>
      </c>
      <c r="Y219" s="65"/>
      <c r="Z219" s="43"/>
    </row>
    <row r="220" spans="1:26" ht="37.5" customHeight="1">
      <c r="A220" s="43"/>
      <c r="B220" s="66" t="str">
        <f ca="1">IFERROR(VLOOKUP(R220,Images!$A:$C,3,FALSE),R220)</f>
        <v>Shadow</v>
      </c>
      <c r="C220" s="65"/>
      <c r="D220" s="46" t="s">
        <v>357</v>
      </c>
      <c r="E220" s="66" t="str">
        <f ca="1">IFERROR(VLOOKUP(U220,Images!$A:$C,3,FALSE),"")</f>
        <v/>
      </c>
      <c r="F220" s="65"/>
      <c r="G220" s="46" t="s">
        <v>358</v>
      </c>
      <c r="H220" s="64" t="str">
        <f>IFERROR(VLOOKUP(X220,Images!$A:$C,3,FALSE),X220)</f>
        <v>68 Raid Cards</v>
      </c>
      <c r="I220" s="65"/>
      <c r="J220" s="43"/>
      <c r="K220" s="43"/>
      <c r="L220" s="43"/>
      <c r="M220" s="43"/>
      <c r="N220" s="43"/>
      <c r="O220" s="43"/>
      <c r="P220" s="43"/>
      <c r="Q220" s="43"/>
      <c r="R220" s="84" t="s">
        <v>12</v>
      </c>
      <c r="S220" s="65"/>
      <c r="T220" s="46" t="s">
        <v>357</v>
      </c>
      <c r="U220" s="84" t="s">
        <v>4</v>
      </c>
      <c r="V220" s="65"/>
      <c r="W220" s="46" t="s">
        <v>358</v>
      </c>
      <c r="X220" s="82" t="s">
        <v>410</v>
      </c>
      <c r="Y220" s="65"/>
      <c r="Z220" s="43"/>
    </row>
    <row r="221" spans="1:26" ht="37.5" customHeight="1">
      <c r="A221" s="43"/>
      <c r="B221" s="66" t="str">
        <f ca="1">IFERROR(VLOOKUP(R221,Images!$A:$C,3,FALSE),R221)</f>
        <v>Shadow</v>
      </c>
      <c r="C221" s="65"/>
      <c r="D221" s="46" t="s">
        <v>357</v>
      </c>
      <c r="E221" s="66" t="str">
        <f ca="1">IFERROR(VLOOKUP(U221,Images!$A:$C,3,FALSE),"")</f>
        <v/>
      </c>
      <c r="F221" s="65"/>
      <c r="G221" s="46" t="s">
        <v>358</v>
      </c>
      <c r="H221" s="64" t="str">
        <f>IFERROR(VLOOKUP(X221,Images!$A:$C,3,FALSE),X221)</f>
        <v>18 Pet Eggs</v>
      </c>
      <c r="I221" s="65"/>
      <c r="J221" s="43"/>
      <c r="K221" s="43"/>
      <c r="L221" s="43"/>
      <c r="M221" s="43"/>
      <c r="N221" s="43"/>
      <c r="O221" s="43"/>
      <c r="P221" s="43"/>
      <c r="Q221" s="43"/>
      <c r="R221" s="84" t="s">
        <v>12</v>
      </c>
      <c r="S221" s="65"/>
      <c r="T221" s="46" t="s">
        <v>357</v>
      </c>
      <c r="U221" s="84" t="s">
        <v>5</v>
      </c>
      <c r="V221" s="65"/>
      <c r="W221" s="46" t="s">
        <v>358</v>
      </c>
      <c r="X221" s="82" t="s">
        <v>414</v>
      </c>
      <c r="Y221" s="65"/>
      <c r="Z221" s="43"/>
    </row>
    <row r="222" spans="1:26" ht="37.5" customHeight="1">
      <c r="A222" s="43"/>
      <c r="B222" s="66" t="str">
        <f ca="1">IFERROR(VLOOKUP(R222,Images!$A:$C,3,FALSE),R222)</f>
        <v>Shadow</v>
      </c>
      <c r="C222" s="65"/>
      <c r="D222" s="46" t="s">
        <v>357</v>
      </c>
      <c r="E222" s="66" t="str">
        <f ca="1">IFERROR(VLOOKUP(U222,Images!$A:$C,3,FALSE),"")</f>
        <v/>
      </c>
      <c r="F222" s="65"/>
      <c r="G222" s="46" t="s">
        <v>358</v>
      </c>
      <c r="H222" s="64" t="str">
        <f>IFERROR(VLOOKUP(X222,Images!$A:$C,3,FALSE),X222)</f>
        <v>122 Currency</v>
      </c>
      <c r="I222" s="65"/>
      <c r="J222" s="43"/>
      <c r="K222" s="43"/>
      <c r="L222" s="43"/>
      <c r="M222" s="43"/>
      <c r="N222" s="43"/>
      <c r="O222" s="43"/>
      <c r="P222" s="43"/>
      <c r="Q222" s="43"/>
      <c r="R222" s="84" t="s">
        <v>12</v>
      </c>
      <c r="S222" s="65"/>
      <c r="T222" s="46" t="s">
        <v>357</v>
      </c>
      <c r="U222" s="84" t="s">
        <v>6</v>
      </c>
      <c r="V222" s="65"/>
      <c r="W222" s="46" t="s">
        <v>358</v>
      </c>
      <c r="X222" s="82" t="s">
        <v>67</v>
      </c>
      <c r="Y222" s="65"/>
      <c r="Z222" s="43"/>
    </row>
    <row r="223" spans="1:26" ht="37.5" customHeight="1">
      <c r="A223" s="43"/>
      <c r="B223" s="66" t="str">
        <f ca="1">IFERROR(VLOOKUP(R223,Images!$A:$C,3,FALSE),R223)</f>
        <v>Shadow</v>
      </c>
      <c r="C223" s="65"/>
      <c r="D223" s="46" t="s">
        <v>357</v>
      </c>
      <c r="E223" s="66" t="str">
        <f ca="1">IFERROR(VLOOKUP(U223,Images!$A:$C,3,FALSE),"")</f>
        <v/>
      </c>
      <c r="F223" s="65"/>
      <c r="G223" s="46" t="s">
        <v>358</v>
      </c>
      <c r="H223" s="64" t="str">
        <f>IFERROR(VLOOKUP(X223,Images!$A:$C,3,FALSE),X223)</f>
        <v>1270 Dust</v>
      </c>
      <c r="I223" s="65"/>
      <c r="J223" s="43"/>
      <c r="K223" s="43"/>
      <c r="L223" s="43"/>
      <c r="M223" s="43"/>
      <c r="N223" s="43"/>
      <c r="O223" s="43"/>
      <c r="P223" s="43"/>
      <c r="Q223" s="43"/>
      <c r="R223" s="84" t="s">
        <v>12</v>
      </c>
      <c r="S223" s="65"/>
      <c r="T223" s="46" t="s">
        <v>357</v>
      </c>
      <c r="U223" s="84" t="s">
        <v>7</v>
      </c>
      <c r="V223" s="65"/>
      <c r="W223" s="46" t="s">
        <v>358</v>
      </c>
      <c r="X223" s="82" t="s">
        <v>421</v>
      </c>
      <c r="Y223" s="65"/>
      <c r="Z223" s="43"/>
    </row>
    <row r="224" spans="1:26" ht="37.5" customHeight="1">
      <c r="A224" s="43"/>
      <c r="B224" s="66" t="str">
        <f ca="1">IFERROR(VLOOKUP(R224,Images!$A:$C,3,FALSE),R224)</f>
        <v>Shadow</v>
      </c>
      <c r="C224" s="65"/>
      <c r="D224" s="46" t="s">
        <v>357</v>
      </c>
      <c r="E224" s="66" t="str">
        <f ca="1">IFERROR(VLOOKUP(U224,Images!$A:$C,3,FALSE),"")</f>
        <v/>
      </c>
      <c r="F224" s="65"/>
      <c r="G224" s="46" t="s">
        <v>358</v>
      </c>
      <c r="H224" s="64" t="str">
        <f>IFERROR(VLOOKUP(X224,Images!$A:$C,3,FALSE),X224)</f>
        <v>66 Wildcards</v>
      </c>
      <c r="I224" s="65"/>
      <c r="J224" s="43"/>
      <c r="K224" s="43"/>
      <c r="L224" s="43"/>
      <c r="M224" s="43"/>
      <c r="N224" s="43"/>
      <c r="O224" s="43"/>
      <c r="P224" s="43"/>
      <c r="Q224" s="43"/>
      <c r="R224" s="84" t="s">
        <v>12</v>
      </c>
      <c r="S224" s="65"/>
      <c r="T224" s="46" t="s">
        <v>357</v>
      </c>
      <c r="U224" s="84" t="s">
        <v>8</v>
      </c>
      <c r="V224" s="65"/>
      <c r="W224" s="46" t="s">
        <v>358</v>
      </c>
      <c r="X224" s="82" t="s">
        <v>426</v>
      </c>
      <c r="Y224" s="65"/>
      <c r="Z224" s="43"/>
    </row>
    <row r="225" spans="1:26" ht="37.5" customHeight="1">
      <c r="A225" s="43"/>
      <c r="B225" s="66" t="str">
        <f ca="1">IFERROR(VLOOKUP(R225,Images!$A:$C,3,FALSE),R225)</f>
        <v>Shadow</v>
      </c>
      <c r="C225" s="65"/>
      <c r="D225" s="46" t="s">
        <v>357</v>
      </c>
      <c r="E225" s="66" t="str">
        <f ca="1">IFERROR(VLOOKUP(U208,Images!$A:$C,3,FALSE),"")</f>
        <v/>
      </c>
      <c r="F225" s="65"/>
      <c r="G225" s="46" t="s">
        <v>358</v>
      </c>
      <c r="H225" s="64" t="str">
        <f>IFERROR(VLOOKUP(X225,Images!$A:$C,3,FALSE),X225)</f>
        <v>1660 Dust</v>
      </c>
      <c r="I225" s="65"/>
      <c r="J225" s="43"/>
      <c r="K225" s="43"/>
      <c r="L225" s="43"/>
      <c r="M225" s="43"/>
      <c r="N225" s="43"/>
      <c r="O225" s="43"/>
      <c r="P225" s="43"/>
      <c r="Q225" s="43"/>
      <c r="R225" s="84" t="s">
        <v>12</v>
      </c>
      <c r="S225" s="65"/>
      <c r="T225" s="46" t="s">
        <v>357</v>
      </c>
      <c r="U225" s="84" t="s">
        <v>9</v>
      </c>
      <c r="V225" s="65"/>
      <c r="W225" s="46" t="s">
        <v>358</v>
      </c>
      <c r="X225" s="82" t="s">
        <v>430</v>
      </c>
      <c r="Y225" s="65"/>
      <c r="Z225" s="43"/>
    </row>
    <row r="226" spans="1:26" ht="37.5" customHeight="1">
      <c r="A226" s="43"/>
      <c r="B226" s="66" t="str">
        <f ca="1">IFERROR(VLOOKUP(R226,Images!$A:$C,3,FALSE),R226)</f>
        <v>Shadow</v>
      </c>
      <c r="C226" s="65"/>
      <c r="D226" s="46" t="s">
        <v>357</v>
      </c>
      <c r="E226" s="66" t="str">
        <f ca="1">IFERROR(VLOOKUP(U226,Images!$A:$C,3,FALSE),"")</f>
        <v/>
      </c>
      <c r="F226" s="65"/>
      <c r="G226" s="46" t="s">
        <v>358</v>
      </c>
      <c r="H226" s="64" t="str">
        <f>IFERROR(VLOOKUP(X226,Images!$A:$C,3,FALSE),X226)</f>
        <v>168 Currency</v>
      </c>
      <c r="I226" s="65"/>
      <c r="J226" s="43"/>
      <c r="K226" s="43"/>
      <c r="L226" s="43"/>
      <c r="M226" s="43"/>
      <c r="N226" s="43"/>
      <c r="O226" s="43"/>
      <c r="P226" s="43"/>
      <c r="Q226" s="43"/>
      <c r="R226" s="84" t="s">
        <v>12</v>
      </c>
      <c r="S226" s="65"/>
      <c r="T226" s="46" t="s">
        <v>357</v>
      </c>
      <c r="U226" s="84" t="s">
        <v>10</v>
      </c>
      <c r="V226" s="65"/>
      <c r="W226" s="46" t="s">
        <v>358</v>
      </c>
      <c r="X226" s="82" t="s">
        <v>309</v>
      </c>
      <c r="Y226" s="65"/>
      <c r="Z226" s="43"/>
    </row>
    <row r="227" spans="1:26" ht="37.5" customHeight="1">
      <c r="A227" s="43"/>
      <c r="B227" s="66" t="str">
        <f ca="1">IFERROR(VLOOKUP(R227,Images!$A:$C,3,FALSE),R227)</f>
        <v>Shadow</v>
      </c>
      <c r="C227" s="65"/>
      <c r="D227" s="46" t="s">
        <v>357</v>
      </c>
      <c r="E227" s="66" t="str">
        <f ca="1">IFERROR(VLOOKUP(U227,Images!$A:$C,3,FALSE),"")</f>
        <v/>
      </c>
      <c r="F227" s="65"/>
      <c r="G227" s="46" t="s">
        <v>358</v>
      </c>
      <c r="H227" s="64" t="str">
        <f>IFERROR(VLOOKUP(X227,Images!$A:$C,3,FALSE),X227)</f>
        <v>173 Currency</v>
      </c>
      <c r="I227" s="65"/>
      <c r="J227" s="43"/>
      <c r="K227" s="43"/>
      <c r="L227" s="43"/>
      <c r="M227" s="43"/>
      <c r="N227" s="43"/>
      <c r="O227" s="43"/>
      <c r="P227" s="43"/>
      <c r="Q227" s="43"/>
      <c r="R227" s="84" t="s">
        <v>12</v>
      </c>
      <c r="S227" s="65"/>
      <c r="T227" s="46" t="s">
        <v>357</v>
      </c>
      <c r="U227" s="84" t="s">
        <v>11</v>
      </c>
      <c r="V227" s="65"/>
      <c r="W227" s="46" t="s">
        <v>358</v>
      </c>
      <c r="X227" s="82" t="s">
        <v>199</v>
      </c>
      <c r="Y227" s="65"/>
      <c r="Z227" s="43"/>
    </row>
    <row r="228" spans="1:26" ht="37.5" customHeight="1">
      <c r="A228" s="43"/>
      <c r="B228" s="66" t="str">
        <f ca="1">IFERROR(VLOOKUP(R228,Images!$A:$C,3,FALSE),R228)</f>
        <v>Shadow</v>
      </c>
      <c r="C228" s="65"/>
      <c r="D228" s="46" t="s">
        <v>357</v>
      </c>
      <c r="E228" s="66" t="str">
        <f ca="1">IFERROR(VLOOKUP(U228,Images!$A:$C,3,FALSE),"")</f>
        <v/>
      </c>
      <c r="F228" s="65"/>
      <c r="G228" s="46" t="s">
        <v>358</v>
      </c>
      <c r="H228" s="64" t="str">
        <f>IFERROR(VLOOKUP(X228,Images!$A:$C,3,FALSE),X228)</f>
        <v>178 Currency</v>
      </c>
      <c r="I228" s="65"/>
      <c r="J228" s="43"/>
      <c r="K228" s="43"/>
      <c r="L228" s="43"/>
      <c r="M228" s="43"/>
      <c r="N228" s="43"/>
      <c r="O228" s="43"/>
      <c r="P228" s="43"/>
      <c r="Q228" s="43"/>
      <c r="R228" s="84" t="s">
        <v>12</v>
      </c>
      <c r="S228" s="65"/>
      <c r="T228" s="46" t="s">
        <v>357</v>
      </c>
      <c r="U228" s="84" t="s">
        <v>12</v>
      </c>
      <c r="V228" s="65"/>
      <c r="W228" s="46" t="s">
        <v>358</v>
      </c>
      <c r="X228" s="82" t="s">
        <v>433</v>
      </c>
      <c r="Y228" s="65"/>
      <c r="Z228" s="43"/>
    </row>
    <row r="229" spans="1:26" ht="37.5" customHeight="1">
      <c r="A229" s="43"/>
      <c r="B229" s="66" t="str">
        <f ca="1">IFERROR(VLOOKUP(R229,Images!$A:$C,3,FALSE),R229)</f>
        <v>Shadow</v>
      </c>
      <c r="C229" s="65"/>
      <c r="D229" s="46" t="s">
        <v>357</v>
      </c>
      <c r="E229" s="66" t="str">
        <f ca="1">IFERROR(VLOOKUP(U229,Images!$A:$C,3,FALSE),"")</f>
        <v/>
      </c>
      <c r="F229" s="65"/>
      <c r="G229" s="46" t="s">
        <v>358</v>
      </c>
      <c r="H229" s="64" t="str">
        <f>IFERROR(VLOOKUP(X229,Images!$A:$C,3,FALSE),X229)</f>
        <v>Mythic Piece
(Wings of Icarus)</v>
      </c>
      <c r="I229" s="65"/>
      <c r="J229" s="43"/>
      <c r="K229" s="43"/>
      <c r="L229" s="43"/>
      <c r="M229" s="43"/>
      <c r="N229" s="43"/>
      <c r="O229" s="43"/>
      <c r="P229" s="43"/>
      <c r="Q229" s="43"/>
      <c r="R229" s="84" t="s">
        <v>12</v>
      </c>
      <c r="S229" s="65"/>
      <c r="T229" s="46" t="s">
        <v>357</v>
      </c>
      <c r="U229" s="84" t="s">
        <v>13</v>
      </c>
      <c r="V229" s="65"/>
      <c r="W229" s="46" t="s">
        <v>358</v>
      </c>
      <c r="X229" s="82" t="s">
        <v>434</v>
      </c>
      <c r="Y229" s="65"/>
      <c r="Z229" s="43"/>
    </row>
    <row r="230" spans="1:26" ht="37.5" customHeight="1">
      <c r="A230" s="43"/>
      <c r="B230" s="43"/>
      <c r="C230" s="43"/>
      <c r="D230" s="43"/>
      <c r="E230" s="43"/>
      <c r="F230" s="43"/>
      <c r="G230" s="43"/>
      <c r="H230" s="67" t="str">
        <f>HYPERLINK("https://docs.google.com/spreadsheets/d/1o95Ipwx6NIyFV3LCz9LGNbH9_WELHF-pbpkM31YwXyY/edit#gid=0&amp;range=A1","Back to Top")</f>
        <v>Back to Top</v>
      </c>
      <c r="I230" s="65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83" t="s">
        <v>440</v>
      </c>
      <c r="Y230" s="65"/>
      <c r="Z230" s="43"/>
    </row>
    <row r="231" spans="1:26" ht="37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37.5" customHeight="1">
      <c r="A232" s="43"/>
      <c r="B232" s="68" t="str">
        <f>R232</f>
        <v>Spirit Recipes</v>
      </c>
      <c r="C232" s="69"/>
      <c r="D232" s="69"/>
      <c r="E232" s="69"/>
      <c r="F232" s="69"/>
      <c r="G232" s="69"/>
      <c r="H232" s="69"/>
      <c r="I232" s="65"/>
      <c r="J232" s="43"/>
      <c r="K232" s="43"/>
      <c r="L232" s="43"/>
      <c r="M232" s="43"/>
      <c r="N232" s="43"/>
      <c r="O232" s="43"/>
      <c r="P232" s="43"/>
      <c r="Q232" s="43"/>
      <c r="R232" s="85" t="s">
        <v>453</v>
      </c>
      <c r="S232" s="69"/>
      <c r="T232" s="69"/>
      <c r="U232" s="69"/>
      <c r="V232" s="69"/>
      <c r="W232" s="69"/>
      <c r="X232" s="69"/>
      <c r="Y232" s="65"/>
      <c r="Z232" s="43"/>
    </row>
    <row r="233" spans="1:26" ht="37.5" customHeight="1">
      <c r="A233" s="43"/>
      <c r="B233" s="66" t="str">
        <f ca="1">IFERROR(VLOOKUP(R233,Images!$A:$C,3,FALSE),R233)</f>
        <v>Spirit</v>
      </c>
      <c r="C233" s="65"/>
      <c r="D233" s="46" t="s">
        <v>357</v>
      </c>
      <c r="E233" s="66" t="str">
        <f ca="1">IFERROR(VLOOKUP(U233,Images!$A:$C,3,FALSE),"")</f>
        <v/>
      </c>
      <c r="F233" s="65"/>
      <c r="G233" s="46" t="s">
        <v>358</v>
      </c>
      <c r="H233" s="64" t="str">
        <f>IFERROR(VLOOKUP(X233,Images!$A:$C,3,FALSE),X233)</f>
        <v>1 Skill Point</v>
      </c>
      <c r="I233" s="65"/>
      <c r="J233" s="43"/>
      <c r="K233" s="43"/>
      <c r="L233" s="43"/>
      <c r="M233" s="43"/>
      <c r="N233" s="43"/>
      <c r="O233" s="43"/>
      <c r="P233" s="43"/>
      <c r="Q233" s="43"/>
      <c r="R233" s="84" t="s">
        <v>13</v>
      </c>
      <c r="S233" s="65"/>
      <c r="T233" s="46" t="s">
        <v>357</v>
      </c>
      <c r="U233" s="84" t="s">
        <v>0</v>
      </c>
      <c r="V233" s="65"/>
      <c r="W233" s="46" t="s">
        <v>358</v>
      </c>
      <c r="X233" s="82" t="s">
        <v>106</v>
      </c>
      <c r="Y233" s="65"/>
      <c r="Z233" s="43"/>
    </row>
    <row r="234" spans="1:26" ht="37.5" customHeight="1">
      <c r="A234" s="43"/>
      <c r="B234" s="66" t="str">
        <f ca="1">IFERROR(VLOOKUP(R234,Images!$A:$C,3,FALSE),R234)</f>
        <v>Spirit</v>
      </c>
      <c r="C234" s="65"/>
      <c r="D234" s="46" t="s">
        <v>357</v>
      </c>
      <c r="E234" s="66" t="str">
        <f ca="1">IFERROR(VLOOKUP(U234,Images!$A:$C,3,FALSE),"")</f>
        <v/>
      </c>
      <c r="F234" s="65"/>
      <c r="G234" s="46" t="s">
        <v>358</v>
      </c>
      <c r="H234" s="64" t="str">
        <f>IFERROR(VLOOKUP(X234,Images!$A:$C,3,FALSE),X234)</f>
        <v>10 Rare Equipment</v>
      </c>
      <c r="I234" s="65"/>
      <c r="J234" s="43"/>
      <c r="K234" s="43"/>
      <c r="L234" s="43"/>
      <c r="M234" s="43"/>
      <c r="N234" s="43"/>
      <c r="O234" s="43"/>
      <c r="P234" s="43"/>
      <c r="Q234" s="43"/>
      <c r="R234" s="84" t="s">
        <v>13</v>
      </c>
      <c r="S234" s="65"/>
      <c r="T234" s="46" t="s">
        <v>357</v>
      </c>
      <c r="U234" s="84" t="s">
        <v>1</v>
      </c>
      <c r="V234" s="65"/>
      <c r="W234" s="46" t="s">
        <v>358</v>
      </c>
      <c r="X234" s="82" t="s">
        <v>359</v>
      </c>
      <c r="Y234" s="65"/>
      <c r="Z234" s="43"/>
    </row>
    <row r="235" spans="1:26" ht="37.5" customHeight="1">
      <c r="A235" s="43"/>
      <c r="B235" s="66" t="str">
        <f ca="1">IFERROR(VLOOKUP(R235,Images!$A:$C,3,FALSE),R235)</f>
        <v>Spirit</v>
      </c>
      <c r="C235" s="65"/>
      <c r="D235" s="46" t="s">
        <v>357</v>
      </c>
      <c r="E235" s="66" t="str">
        <f ca="1">IFERROR(VLOOKUP(U235,Images!$A:$C,3,FALSE),"")</f>
        <v/>
      </c>
      <c r="F235" s="65"/>
      <c r="G235" s="46" t="s">
        <v>358</v>
      </c>
      <c r="H235" s="64" t="str">
        <f>IFERROR(VLOOKUP(X235,Images!$A:$C,3,FALSE),X235)</f>
        <v>105 Currency</v>
      </c>
      <c r="I235" s="65"/>
      <c r="J235" s="43"/>
      <c r="K235" s="43"/>
      <c r="L235" s="43"/>
      <c r="M235" s="43"/>
      <c r="N235" s="43"/>
      <c r="O235" s="43"/>
      <c r="P235" s="43"/>
      <c r="Q235" s="43"/>
      <c r="R235" s="84" t="s">
        <v>13</v>
      </c>
      <c r="S235" s="65"/>
      <c r="T235" s="46" t="s">
        <v>357</v>
      </c>
      <c r="U235" s="84" t="s">
        <v>2</v>
      </c>
      <c r="V235" s="65"/>
      <c r="W235" s="46" t="s">
        <v>358</v>
      </c>
      <c r="X235" s="82" t="s">
        <v>400</v>
      </c>
      <c r="Y235" s="65"/>
      <c r="Z235" s="43"/>
    </row>
    <row r="236" spans="1:26" ht="37.5" customHeight="1">
      <c r="A236" s="43"/>
      <c r="B236" s="66" t="str">
        <f ca="1">IFERROR(VLOOKUP(R236,Images!$A:$C,3,FALSE),R236)</f>
        <v>Spirit</v>
      </c>
      <c r="C236" s="65"/>
      <c r="D236" s="46" t="s">
        <v>357</v>
      </c>
      <c r="E236" s="66" t="str">
        <f ca="1">IFERROR(VLOOKUP(U236,Images!$A:$C,3,FALSE),"")</f>
        <v/>
      </c>
      <c r="F236" s="65"/>
      <c r="G236" s="46" t="s">
        <v>358</v>
      </c>
      <c r="H236" s="64" t="str">
        <f>IFERROR(VLOOKUP(X236,Images!$A:$C,3,FALSE),X236)</f>
        <v>111 Currency</v>
      </c>
      <c r="I236" s="65"/>
      <c r="J236" s="43"/>
      <c r="K236" s="43"/>
      <c r="L236" s="43"/>
      <c r="M236" s="43"/>
      <c r="N236" s="43"/>
      <c r="O236" s="43"/>
      <c r="P236" s="43"/>
      <c r="Q236" s="43"/>
      <c r="R236" s="84" t="s">
        <v>13</v>
      </c>
      <c r="S236" s="65"/>
      <c r="T236" s="46" t="s">
        <v>357</v>
      </c>
      <c r="U236" s="84" t="s">
        <v>3</v>
      </c>
      <c r="V236" s="65"/>
      <c r="W236" s="46" t="s">
        <v>358</v>
      </c>
      <c r="X236" s="82" t="s">
        <v>302</v>
      </c>
      <c r="Y236" s="65"/>
      <c r="Z236" s="43"/>
    </row>
    <row r="237" spans="1:26" ht="37.5" customHeight="1">
      <c r="A237" s="43"/>
      <c r="B237" s="66" t="str">
        <f ca="1">IFERROR(VLOOKUP(R237,Images!$A:$C,3,FALSE),R237)</f>
        <v>Spirit</v>
      </c>
      <c r="C237" s="65"/>
      <c r="D237" s="46" t="s">
        <v>357</v>
      </c>
      <c r="E237" s="66" t="str">
        <f ca="1">IFERROR(VLOOKUP(U237,Images!$A:$C,3,FALSE),"")</f>
        <v/>
      </c>
      <c r="F237" s="65"/>
      <c r="G237" s="46" t="s">
        <v>358</v>
      </c>
      <c r="H237" s="64" t="str">
        <f>IFERROR(VLOOKUP(X237,Images!$A:$C,3,FALSE),X237)</f>
        <v>116 Currency</v>
      </c>
      <c r="I237" s="65"/>
      <c r="J237" s="43"/>
      <c r="K237" s="43"/>
      <c r="L237" s="43"/>
      <c r="M237" s="43"/>
      <c r="N237" s="43"/>
      <c r="O237" s="43"/>
      <c r="P237" s="43"/>
      <c r="Q237" s="43"/>
      <c r="R237" s="84" t="s">
        <v>13</v>
      </c>
      <c r="S237" s="65"/>
      <c r="T237" s="46" t="s">
        <v>357</v>
      </c>
      <c r="U237" s="84" t="s">
        <v>4</v>
      </c>
      <c r="V237" s="65"/>
      <c r="W237" s="46" t="s">
        <v>358</v>
      </c>
      <c r="X237" s="82" t="s">
        <v>66</v>
      </c>
      <c r="Y237" s="65"/>
      <c r="Z237" s="43"/>
    </row>
    <row r="238" spans="1:26" ht="37.5" customHeight="1">
      <c r="A238" s="43"/>
      <c r="B238" s="66" t="str">
        <f ca="1">IFERROR(VLOOKUP(R238,Images!$A:$C,3,FALSE),R238)</f>
        <v>Spirit</v>
      </c>
      <c r="C238" s="65"/>
      <c r="D238" s="46" t="s">
        <v>357</v>
      </c>
      <c r="E238" s="66" t="str">
        <f ca="1">IFERROR(VLOOKUP(U238,Images!$A:$C,3,FALSE),"")</f>
        <v/>
      </c>
      <c r="F238" s="65"/>
      <c r="G238" s="46" t="s">
        <v>358</v>
      </c>
      <c r="H238" s="64" t="str">
        <f>IFERROR(VLOOKUP(X238,Images!$A:$C,3,FALSE),X238)</f>
        <v>19 Pet Eggs</v>
      </c>
      <c r="I238" s="65"/>
      <c r="J238" s="43"/>
      <c r="K238" s="43"/>
      <c r="L238" s="43"/>
      <c r="M238" s="43"/>
      <c r="N238" s="43"/>
      <c r="O238" s="43"/>
      <c r="P238" s="43"/>
      <c r="Q238" s="43"/>
      <c r="R238" s="84" t="s">
        <v>13</v>
      </c>
      <c r="S238" s="65"/>
      <c r="T238" s="46" t="s">
        <v>357</v>
      </c>
      <c r="U238" s="84" t="s">
        <v>5</v>
      </c>
      <c r="V238" s="65"/>
      <c r="W238" s="46" t="s">
        <v>358</v>
      </c>
      <c r="X238" s="82" t="s">
        <v>415</v>
      </c>
      <c r="Y238" s="65"/>
      <c r="Z238" s="43"/>
    </row>
    <row r="239" spans="1:26" ht="37.5" customHeight="1">
      <c r="A239" s="43"/>
      <c r="B239" s="66" t="str">
        <f ca="1">IFERROR(VLOOKUP(R239,Images!$A:$C,3,FALSE),R239)</f>
        <v>Spirit</v>
      </c>
      <c r="C239" s="65"/>
      <c r="D239" s="46" t="s">
        <v>357</v>
      </c>
      <c r="E239" s="66" t="str">
        <f ca="1">IFERROR(VLOOKUP(U239,Images!$A:$C,3,FALSE),"")</f>
        <v/>
      </c>
      <c r="F239" s="65"/>
      <c r="G239" s="46" t="s">
        <v>358</v>
      </c>
      <c r="H239" s="64" t="str">
        <f>IFERROR(VLOOKUP(X239,Images!$A:$C,3,FALSE),X239)</f>
        <v>16 Shards</v>
      </c>
      <c r="I239" s="65"/>
      <c r="J239" s="43"/>
      <c r="K239" s="43"/>
      <c r="L239" s="43"/>
      <c r="M239" s="43"/>
      <c r="N239" s="43"/>
      <c r="O239" s="43"/>
      <c r="P239" s="43"/>
      <c r="Q239" s="43"/>
      <c r="R239" s="84" t="s">
        <v>13</v>
      </c>
      <c r="S239" s="65"/>
      <c r="T239" s="46" t="s">
        <v>357</v>
      </c>
      <c r="U239" s="84" t="s">
        <v>6</v>
      </c>
      <c r="V239" s="65"/>
      <c r="W239" s="46" t="s">
        <v>358</v>
      </c>
      <c r="X239" s="82" t="s">
        <v>418</v>
      </c>
      <c r="Y239" s="65"/>
      <c r="Z239" s="43"/>
    </row>
    <row r="240" spans="1:26" ht="37.5" customHeight="1">
      <c r="A240" s="43"/>
      <c r="B240" s="66" t="str">
        <f ca="1">IFERROR(VLOOKUP(R240,Images!$A:$C,3,FALSE),R240)</f>
        <v>Spirit</v>
      </c>
      <c r="C240" s="65"/>
      <c r="D240" s="46" t="s">
        <v>357</v>
      </c>
      <c r="E240" s="66" t="str">
        <f ca="1">IFERROR(VLOOKUP(U240,Images!$A:$C,3,FALSE),"")</f>
        <v/>
      </c>
      <c r="F240" s="65"/>
      <c r="G240" s="46" t="s">
        <v>358</v>
      </c>
      <c r="H240" s="64" t="str">
        <f>IFERROR(VLOOKUP(X240,Images!$A:$C,3,FALSE),X240)</f>
        <v>133 Currency</v>
      </c>
      <c r="I240" s="65"/>
      <c r="J240" s="43"/>
      <c r="K240" s="43"/>
      <c r="L240" s="43"/>
      <c r="M240" s="43"/>
      <c r="N240" s="43"/>
      <c r="O240" s="43"/>
      <c r="P240" s="43"/>
      <c r="Q240" s="43"/>
      <c r="R240" s="84" t="s">
        <v>13</v>
      </c>
      <c r="S240" s="65"/>
      <c r="T240" s="46" t="s">
        <v>357</v>
      </c>
      <c r="U240" s="84" t="s">
        <v>7</v>
      </c>
      <c r="V240" s="65"/>
      <c r="W240" s="46" t="s">
        <v>358</v>
      </c>
      <c r="X240" s="82" t="s">
        <v>301</v>
      </c>
      <c r="Y240" s="65"/>
      <c r="Z240" s="43"/>
    </row>
    <row r="241" spans="1:26" ht="37.5" customHeight="1">
      <c r="A241" s="43"/>
      <c r="B241" s="66" t="str">
        <f ca="1">IFERROR(VLOOKUP(R241,Images!$A:$C,3,FALSE),R241)</f>
        <v>Spirit</v>
      </c>
      <c r="C241" s="65"/>
      <c r="D241" s="46" t="s">
        <v>357</v>
      </c>
      <c r="E241" s="66" t="str">
        <f ca="1">IFERROR(VLOOKUP(U241,Images!$A:$C,3,FALSE),"")</f>
        <v/>
      </c>
      <c r="F241" s="65"/>
      <c r="G241" s="46" t="s">
        <v>358</v>
      </c>
      <c r="H241" s="64" t="str">
        <f>IFERROR(VLOOKUP(X241,Images!$A:$C,3,FALSE),X241)</f>
        <v>Legendary Piece (Head in the Clouds)</v>
      </c>
      <c r="I241" s="65"/>
      <c r="J241" s="43"/>
      <c r="K241" s="43"/>
      <c r="L241" s="43"/>
      <c r="M241" s="43"/>
      <c r="N241" s="43"/>
      <c r="O241" s="43"/>
      <c r="P241" s="43"/>
      <c r="Q241" s="43"/>
      <c r="R241" s="84" t="s">
        <v>13</v>
      </c>
      <c r="S241" s="65"/>
      <c r="T241" s="46" t="s">
        <v>357</v>
      </c>
      <c r="U241" s="84" t="s">
        <v>8</v>
      </c>
      <c r="V241" s="65"/>
      <c r="W241" s="46" t="s">
        <v>358</v>
      </c>
      <c r="X241" s="82" t="s">
        <v>427</v>
      </c>
      <c r="Y241" s="65"/>
      <c r="Z241" s="43"/>
    </row>
    <row r="242" spans="1:26" ht="37.5" customHeight="1">
      <c r="A242" s="43"/>
      <c r="B242" s="66" t="str">
        <f ca="1">IFERROR(VLOOKUP(R242,Images!$A:$C,3,FALSE),R242)</f>
        <v>Spirit</v>
      </c>
      <c r="C242" s="65"/>
      <c r="D242" s="46" t="s">
        <v>357</v>
      </c>
      <c r="E242" s="66" t="str">
        <f ca="1">IFERROR(VLOOKUP(U242,Images!$A:$C,3,FALSE),"")</f>
        <v/>
      </c>
      <c r="F242" s="65"/>
      <c r="G242" s="46" t="s">
        <v>358</v>
      </c>
      <c r="H242" s="64" t="str">
        <f>IFERROR(VLOOKUP(X242,Images!$A:$C,3,FALSE),X242)</f>
        <v>2 Skill Points</v>
      </c>
      <c r="I242" s="65"/>
      <c r="J242" s="43"/>
      <c r="K242" s="43"/>
      <c r="L242" s="43"/>
      <c r="M242" s="43"/>
      <c r="N242" s="43"/>
      <c r="O242" s="43"/>
      <c r="P242" s="43"/>
      <c r="Q242" s="43"/>
      <c r="R242" s="84" t="s">
        <v>13</v>
      </c>
      <c r="S242" s="65"/>
      <c r="T242" s="46" t="s">
        <v>357</v>
      </c>
      <c r="U242" s="84" t="s">
        <v>9</v>
      </c>
      <c r="V242" s="65"/>
      <c r="W242" s="46" t="s">
        <v>358</v>
      </c>
      <c r="X242" s="82" t="s">
        <v>55</v>
      </c>
      <c r="Y242" s="65"/>
      <c r="Z242" s="43"/>
    </row>
    <row r="243" spans="1:26" ht="37.5" customHeight="1">
      <c r="A243" s="43"/>
      <c r="B243" s="66" t="str">
        <f ca="1">IFERROR(VLOOKUP(R243,Images!$A:$C,3,FALSE),R243)</f>
        <v>Spirit</v>
      </c>
      <c r="C243" s="65"/>
      <c r="D243" s="46" t="s">
        <v>357</v>
      </c>
      <c r="E243" s="66" t="str">
        <f ca="1">IFERROR(VLOOKUP(U243,Images!$A:$C,3,FALSE),"")</f>
        <v/>
      </c>
      <c r="F243" s="65"/>
      <c r="G243" s="46" t="s">
        <v>358</v>
      </c>
      <c r="H243" s="64" t="str">
        <f>IFERROR(VLOOKUP(X243,Images!$A:$C,3,FALSE),X243)</f>
        <v>2 Fortune Scrolls</v>
      </c>
      <c r="I243" s="65"/>
      <c r="J243" s="43"/>
      <c r="K243" s="43"/>
      <c r="L243" s="43"/>
      <c r="M243" s="43"/>
      <c r="N243" s="43"/>
      <c r="O243" s="43"/>
      <c r="P243" s="43"/>
      <c r="Q243" s="43"/>
      <c r="R243" s="84" t="s">
        <v>13</v>
      </c>
      <c r="S243" s="65"/>
      <c r="T243" s="46" t="s">
        <v>357</v>
      </c>
      <c r="U243" s="84" t="s">
        <v>10</v>
      </c>
      <c r="V243" s="65"/>
      <c r="W243" s="46" t="s">
        <v>358</v>
      </c>
      <c r="X243" s="82" t="s">
        <v>78</v>
      </c>
      <c r="Y243" s="65"/>
      <c r="Z243" s="43"/>
    </row>
    <row r="244" spans="1:26" ht="37.5" customHeight="1">
      <c r="A244" s="43"/>
      <c r="B244" s="66" t="str">
        <f ca="1">IFERROR(VLOOKUP(R244,Images!$A:$C,3,FALSE),R244)</f>
        <v>Spirit</v>
      </c>
      <c r="C244" s="65"/>
      <c r="D244" s="46" t="s">
        <v>357</v>
      </c>
      <c r="E244" s="66" t="str">
        <f ca="1">IFERROR(VLOOKUP(U244,Images!$A:$C,3,FALSE),"")</f>
        <v/>
      </c>
      <c r="F244" s="65"/>
      <c r="G244" s="46" t="s">
        <v>358</v>
      </c>
      <c r="H244" s="64" t="str">
        <f>IFERROR(VLOOKUP(X244,Images!$A:$C,3,FALSE),X244)</f>
        <v>3 Fortune Weapons</v>
      </c>
      <c r="I244" s="65"/>
      <c r="J244" s="43"/>
      <c r="K244" s="43"/>
      <c r="L244" s="43"/>
      <c r="M244" s="43"/>
      <c r="N244" s="43"/>
      <c r="O244" s="43"/>
      <c r="P244" s="43"/>
      <c r="Q244" s="43"/>
      <c r="R244" s="84" t="s">
        <v>13</v>
      </c>
      <c r="S244" s="65"/>
      <c r="T244" s="46" t="s">
        <v>357</v>
      </c>
      <c r="U244" s="84" t="s">
        <v>11</v>
      </c>
      <c r="V244" s="65"/>
      <c r="W244" s="46" t="s">
        <v>358</v>
      </c>
      <c r="X244" s="82" t="s">
        <v>432</v>
      </c>
      <c r="Y244" s="65"/>
      <c r="Z244" s="43"/>
    </row>
    <row r="245" spans="1:26" ht="37.5" customHeight="1">
      <c r="A245" s="43"/>
      <c r="B245" s="66" t="str">
        <f ca="1">IFERROR(VLOOKUP(R245,Images!$A:$C,3,FALSE),R245)</f>
        <v>Spirit</v>
      </c>
      <c r="C245" s="65"/>
      <c r="D245" s="46" t="s">
        <v>357</v>
      </c>
      <c r="E245" s="66" t="str">
        <f ca="1">IFERROR(VLOOKUP(U245,Images!$A:$C,3,FALSE),"")</f>
        <v/>
      </c>
      <c r="F245" s="65"/>
      <c r="G245" s="46" t="s">
        <v>358</v>
      </c>
      <c r="H245" s="64" t="str">
        <f>IFERROR(VLOOKUP(X245,Images!$A:$C,3,FALSE),X245)</f>
        <v>Mythic Piece
(Wings of Icarus)</v>
      </c>
      <c r="I245" s="65"/>
      <c r="J245" s="43"/>
      <c r="K245" s="43"/>
      <c r="L245" s="43"/>
      <c r="M245" s="43"/>
      <c r="N245" s="43"/>
      <c r="O245" s="43"/>
      <c r="P245" s="43"/>
      <c r="Q245" s="43"/>
      <c r="R245" s="84" t="s">
        <v>13</v>
      </c>
      <c r="S245" s="65"/>
      <c r="T245" s="46" t="s">
        <v>357</v>
      </c>
      <c r="U245" s="84" t="s">
        <v>12</v>
      </c>
      <c r="V245" s="65"/>
      <c r="W245" s="46" t="s">
        <v>358</v>
      </c>
      <c r="X245" s="82" t="s">
        <v>434</v>
      </c>
      <c r="Y245" s="65"/>
      <c r="Z245" s="43"/>
    </row>
    <row r="246" spans="1:26" ht="37.5" customHeight="1">
      <c r="A246" s="43"/>
      <c r="B246" s="66" t="str">
        <f ca="1">IFERROR(VLOOKUP(R246,Images!$A:$C,3,FALSE),R246)</f>
        <v>Spirit</v>
      </c>
      <c r="C246" s="65"/>
      <c r="D246" s="46" t="s">
        <v>357</v>
      </c>
      <c r="E246" s="66" t="str">
        <f ca="1">IFERROR(VLOOKUP(U246,Images!$A:$C,3,FALSE),"")</f>
        <v/>
      </c>
      <c r="F246" s="65"/>
      <c r="G246" s="46" t="s">
        <v>358</v>
      </c>
      <c r="H246" s="64" t="str">
        <f>IFERROR(VLOOKUP(X246,Images!$A:$C,3,FALSE),X246)</f>
        <v>190 Currency</v>
      </c>
      <c r="I246" s="65"/>
      <c r="J246" s="43"/>
      <c r="K246" s="43"/>
      <c r="L246" s="43"/>
      <c r="M246" s="43"/>
      <c r="N246" s="43"/>
      <c r="O246" s="43"/>
      <c r="P246" s="43"/>
      <c r="Q246" s="43"/>
      <c r="R246" s="84" t="s">
        <v>13</v>
      </c>
      <c r="S246" s="65"/>
      <c r="T246" s="46" t="s">
        <v>357</v>
      </c>
      <c r="U246" s="84" t="s">
        <v>13</v>
      </c>
      <c r="V246" s="65"/>
      <c r="W246" s="46" t="s">
        <v>358</v>
      </c>
      <c r="X246" s="82" t="s">
        <v>312</v>
      </c>
      <c r="Y246" s="65"/>
      <c r="Z246" s="43"/>
    </row>
    <row r="247" spans="1:26" ht="37.5" customHeight="1">
      <c r="A247" s="43"/>
      <c r="B247" s="43"/>
      <c r="C247" s="43"/>
      <c r="D247" s="43"/>
      <c r="E247" s="43"/>
      <c r="F247" s="43"/>
      <c r="G247" s="43"/>
      <c r="H247" s="67" t="str">
        <f>HYPERLINK("https://docs.google.com/spreadsheets/d/1o95Ipwx6NIyFV3LCz9LGNbH9_WELHF-pbpkM31YwXyY/edit#gid=0&amp;range=A1","Back to Top")</f>
        <v>Back to Top</v>
      </c>
      <c r="I247" s="65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83" t="s">
        <v>440</v>
      </c>
      <c r="Y247" s="65"/>
      <c r="Z247" s="43"/>
    </row>
    <row r="248" spans="1:26" ht="37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</sheetData>
  <mergeCells count="1271">
    <mergeCell ref="X184:Y184"/>
    <mergeCell ref="U182:V182"/>
    <mergeCell ref="X182:Y182"/>
    <mergeCell ref="X175:Y175"/>
    <mergeCell ref="X176:Y176"/>
    <mergeCell ref="X177:Y177"/>
    <mergeCell ref="X178:Y178"/>
    <mergeCell ref="X179:Y179"/>
    <mergeCell ref="R181:Y181"/>
    <mergeCell ref="R182:S182"/>
    <mergeCell ref="X161:Y161"/>
    <mergeCell ref="X162:Y162"/>
    <mergeCell ref="R164:Y164"/>
    <mergeCell ref="R165:S165"/>
    <mergeCell ref="U165:V165"/>
    <mergeCell ref="R166:S166"/>
    <mergeCell ref="X167:Y167"/>
    <mergeCell ref="U173:V173"/>
    <mergeCell ref="U174:V174"/>
    <mergeCell ref="U175:V175"/>
    <mergeCell ref="U176:V176"/>
    <mergeCell ref="U177:V177"/>
    <mergeCell ref="U178:V178"/>
    <mergeCell ref="U166:V166"/>
    <mergeCell ref="U167:V167"/>
    <mergeCell ref="U168:V168"/>
    <mergeCell ref="U169:V169"/>
    <mergeCell ref="U170:V170"/>
    <mergeCell ref="U171:V171"/>
    <mergeCell ref="U172:V172"/>
    <mergeCell ref="R174:S174"/>
    <mergeCell ref="R175:S175"/>
    <mergeCell ref="U155:V155"/>
    <mergeCell ref="R152:S152"/>
    <mergeCell ref="R153:S153"/>
    <mergeCell ref="U153:V153"/>
    <mergeCell ref="X153:Y153"/>
    <mergeCell ref="R154:S154"/>
    <mergeCell ref="X154:Y154"/>
    <mergeCell ref="X155:Y155"/>
    <mergeCell ref="U157:V157"/>
    <mergeCell ref="U158:V158"/>
    <mergeCell ref="R155:S155"/>
    <mergeCell ref="R156:S156"/>
    <mergeCell ref="R177:S177"/>
    <mergeCell ref="R178:S178"/>
    <mergeCell ref="R167:S167"/>
    <mergeCell ref="R168:S168"/>
    <mergeCell ref="R169:S169"/>
    <mergeCell ref="R170:S170"/>
    <mergeCell ref="R171:S171"/>
    <mergeCell ref="R172:S172"/>
    <mergeCell ref="R173:S173"/>
    <mergeCell ref="X168:Y168"/>
    <mergeCell ref="X169:Y169"/>
    <mergeCell ref="X170:Y170"/>
    <mergeCell ref="X171:Y171"/>
    <mergeCell ref="X172:Y172"/>
    <mergeCell ref="X173:Y173"/>
    <mergeCell ref="X174:Y174"/>
    <mergeCell ref="R176:S176"/>
    <mergeCell ref="X143:Y143"/>
    <mergeCell ref="X144:Y144"/>
    <mergeCell ref="X145:Y145"/>
    <mergeCell ref="R147:Y147"/>
    <mergeCell ref="R148:S148"/>
    <mergeCell ref="X148:Y148"/>
    <mergeCell ref="X149:Y149"/>
    <mergeCell ref="U151:V151"/>
    <mergeCell ref="U152:V152"/>
    <mergeCell ref="R149:S149"/>
    <mergeCell ref="R150:S150"/>
    <mergeCell ref="U150:V150"/>
    <mergeCell ref="X150:Y150"/>
    <mergeCell ref="R151:S151"/>
    <mergeCell ref="X151:Y151"/>
    <mergeCell ref="X152:Y152"/>
    <mergeCell ref="U154:V154"/>
    <mergeCell ref="R157:S157"/>
    <mergeCell ref="X157:Y157"/>
    <mergeCell ref="X158:Y158"/>
    <mergeCell ref="U160:V160"/>
    <mergeCell ref="U161:V161"/>
    <mergeCell ref="R158:S158"/>
    <mergeCell ref="R159:S159"/>
    <mergeCell ref="U159:V159"/>
    <mergeCell ref="X159:Y159"/>
    <mergeCell ref="R160:S160"/>
    <mergeCell ref="X160:Y160"/>
    <mergeCell ref="R161:S161"/>
    <mergeCell ref="R132:S132"/>
    <mergeCell ref="U132:V132"/>
    <mergeCell ref="X132:Y132"/>
    <mergeCell ref="R133:S133"/>
    <mergeCell ref="U133:V133"/>
    <mergeCell ref="R134:S134"/>
    <mergeCell ref="X135:Y135"/>
    <mergeCell ref="U141:V141"/>
    <mergeCell ref="U142:V142"/>
    <mergeCell ref="U143:V143"/>
    <mergeCell ref="U144:V144"/>
    <mergeCell ref="U134:V134"/>
    <mergeCell ref="U135:V135"/>
    <mergeCell ref="U136:V136"/>
    <mergeCell ref="U137:V137"/>
    <mergeCell ref="U138:V138"/>
    <mergeCell ref="U139:V139"/>
    <mergeCell ref="U140:V140"/>
    <mergeCell ref="U148:V148"/>
    <mergeCell ref="U149:V149"/>
    <mergeCell ref="R183:S183"/>
    <mergeCell ref="U183:V183"/>
    <mergeCell ref="X183:Y183"/>
    <mergeCell ref="R184:S184"/>
    <mergeCell ref="U184:V184"/>
    <mergeCell ref="R185:S185"/>
    <mergeCell ref="R186:S186"/>
    <mergeCell ref="X186:Y186"/>
    <mergeCell ref="R189:S189"/>
    <mergeCell ref="R190:S190"/>
    <mergeCell ref="R191:S191"/>
    <mergeCell ref="R192:S192"/>
    <mergeCell ref="R193:S193"/>
    <mergeCell ref="R142:S142"/>
    <mergeCell ref="R143:S143"/>
    <mergeCell ref="R144:S144"/>
    <mergeCell ref="R135:S135"/>
    <mergeCell ref="R136:S136"/>
    <mergeCell ref="R137:S137"/>
    <mergeCell ref="R138:S138"/>
    <mergeCell ref="R139:S139"/>
    <mergeCell ref="R140:S140"/>
    <mergeCell ref="R141:S141"/>
    <mergeCell ref="X136:Y136"/>
    <mergeCell ref="X137:Y137"/>
    <mergeCell ref="X138:Y138"/>
    <mergeCell ref="X139:Y139"/>
    <mergeCell ref="X140:Y140"/>
    <mergeCell ref="X141:Y141"/>
    <mergeCell ref="X142:Y142"/>
    <mergeCell ref="U156:V156"/>
    <mergeCell ref="X156:Y156"/>
    <mergeCell ref="R194:S194"/>
    <mergeCell ref="R195:S195"/>
    <mergeCell ref="R123:S123"/>
    <mergeCell ref="R124:S124"/>
    <mergeCell ref="R125:S125"/>
    <mergeCell ref="R126:S126"/>
    <mergeCell ref="R127:S127"/>
    <mergeCell ref="R187:S187"/>
    <mergeCell ref="R188:S188"/>
    <mergeCell ref="X110:Y110"/>
    <mergeCell ref="X111:Y111"/>
    <mergeCell ref="R113:Y113"/>
    <mergeCell ref="R114:S114"/>
    <mergeCell ref="U114:V114"/>
    <mergeCell ref="R115:S115"/>
    <mergeCell ref="X116:Y116"/>
    <mergeCell ref="U115:V115"/>
    <mergeCell ref="U116:V116"/>
    <mergeCell ref="U117:V117"/>
    <mergeCell ref="U118:V118"/>
    <mergeCell ref="U119:V119"/>
    <mergeCell ref="U120:V120"/>
    <mergeCell ref="U121:V121"/>
    <mergeCell ref="R116:S116"/>
    <mergeCell ref="R117:S117"/>
    <mergeCell ref="R118:S118"/>
    <mergeCell ref="R119:S119"/>
    <mergeCell ref="R120:S120"/>
    <mergeCell ref="R121:S121"/>
    <mergeCell ref="R122:S122"/>
    <mergeCell ref="X117:Y117"/>
    <mergeCell ref="X118:Y118"/>
    <mergeCell ref="X119:Y119"/>
    <mergeCell ref="X120:Y120"/>
    <mergeCell ref="X121:Y121"/>
    <mergeCell ref="X122:Y122"/>
    <mergeCell ref="X123:Y123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22:V122"/>
    <mergeCell ref="U123:V123"/>
    <mergeCell ref="U124:V124"/>
    <mergeCell ref="U125:V125"/>
    <mergeCell ref="U126:V126"/>
    <mergeCell ref="U127:V127"/>
    <mergeCell ref="U187:V187"/>
    <mergeCell ref="X133:Y133"/>
    <mergeCell ref="X134:Y134"/>
    <mergeCell ref="X187:Y187"/>
    <mergeCell ref="X188:Y188"/>
    <mergeCell ref="X189:Y189"/>
    <mergeCell ref="X190:Y190"/>
    <mergeCell ref="X191:Y191"/>
    <mergeCell ref="X165:Y165"/>
    <mergeCell ref="X166:Y166"/>
    <mergeCell ref="U185:V185"/>
    <mergeCell ref="U186:V186"/>
    <mergeCell ref="X185:Y185"/>
    <mergeCell ref="R109:S109"/>
    <mergeCell ref="X109:Y109"/>
    <mergeCell ref="R110:S110"/>
    <mergeCell ref="U97:V97"/>
    <mergeCell ref="U98:V98"/>
    <mergeCell ref="X92:Y92"/>
    <mergeCell ref="X93:Y93"/>
    <mergeCell ref="X94:Y94"/>
    <mergeCell ref="R96:Y96"/>
    <mergeCell ref="R97:S97"/>
    <mergeCell ref="X97:Y97"/>
    <mergeCell ref="X98:Y98"/>
    <mergeCell ref="U103:V103"/>
    <mergeCell ref="U104:V104"/>
    <mergeCell ref="R101:S101"/>
    <mergeCell ref="R102:S102"/>
    <mergeCell ref="U102:V102"/>
    <mergeCell ref="X102:Y102"/>
    <mergeCell ref="R103:S103"/>
    <mergeCell ref="X103:Y103"/>
    <mergeCell ref="X104:Y104"/>
    <mergeCell ref="R84:S84"/>
    <mergeCell ref="R85:S85"/>
    <mergeCell ref="R86:S86"/>
    <mergeCell ref="R87:S87"/>
    <mergeCell ref="R88:S88"/>
    <mergeCell ref="R89:S89"/>
    <mergeCell ref="R90:S90"/>
    <mergeCell ref="X85:Y85"/>
    <mergeCell ref="X86:Y86"/>
    <mergeCell ref="X87:Y87"/>
    <mergeCell ref="X88:Y88"/>
    <mergeCell ref="U106:V106"/>
    <mergeCell ref="U107:V107"/>
    <mergeCell ref="R104:S104"/>
    <mergeCell ref="R105:S105"/>
    <mergeCell ref="U105:V105"/>
    <mergeCell ref="X105:Y105"/>
    <mergeCell ref="R106:S106"/>
    <mergeCell ref="X106:Y106"/>
    <mergeCell ref="X107:Y107"/>
    <mergeCell ref="R107:S107"/>
    <mergeCell ref="X91:Y91"/>
    <mergeCell ref="X114:Y114"/>
    <mergeCell ref="X115:Y115"/>
    <mergeCell ref="U131:V131"/>
    <mergeCell ref="X131:Y131"/>
    <mergeCell ref="X124:Y124"/>
    <mergeCell ref="X125:Y125"/>
    <mergeCell ref="X126:Y126"/>
    <mergeCell ref="X127:Y127"/>
    <mergeCell ref="X128:Y128"/>
    <mergeCell ref="R130:Y130"/>
    <mergeCell ref="R131:S131"/>
    <mergeCell ref="U199:V199"/>
    <mergeCell ref="X199:Y199"/>
    <mergeCell ref="X192:Y192"/>
    <mergeCell ref="X193:Y193"/>
    <mergeCell ref="X194:Y194"/>
    <mergeCell ref="X195:Y195"/>
    <mergeCell ref="X196:Y196"/>
    <mergeCell ref="R198:Y198"/>
    <mergeCell ref="R199:S199"/>
    <mergeCell ref="U91:V91"/>
    <mergeCell ref="U92:V92"/>
    <mergeCell ref="U93:V93"/>
    <mergeCell ref="R91:S91"/>
    <mergeCell ref="R92:S92"/>
    <mergeCell ref="R93:S93"/>
    <mergeCell ref="U109:V109"/>
    <mergeCell ref="U110:V110"/>
    <mergeCell ref="R108:S108"/>
    <mergeCell ref="U108:V108"/>
    <mergeCell ref="X108:Y108"/>
    <mergeCell ref="R11:Y11"/>
    <mergeCell ref="R12:S12"/>
    <mergeCell ref="U12:V12"/>
    <mergeCell ref="X12:Y12"/>
    <mergeCell ref="U13:V13"/>
    <mergeCell ref="X13:Y13"/>
    <mergeCell ref="R5:S5"/>
    <mergeCell ref="T5:U5"/>
    <mergeCell ref="R6:S6"/>
    <mergeCell ref="T6:U6"/>
    <mergeCell ref="R7:S7"/>
    <mergeCell ref="T7:U7"/>
    <mergeCell ref="R8:S8"/>
    <mergeCell ref="T8:U8"/>
    <mergeCell ref="V8:W8"/>
    <mergeCell ref="X89:Y89"/>
    <mergeCell ref="X90:Y90"/>
    <mergeCell ref="R81:S81"/>
    <mergeCell ref="U81:V81"/>
    <mergeCell ref="X81:Y81"/>
    <mergeCell ref="R82:S82"/>
    <mergeCell ref="U82:V82"/>
    <mergeCell ref="R83:S83"/>
    <mergeCell ref="X84:Y84"/>
    <mergeCell ref="U90:V90"/>
    <mergeCell ref="U83:V83"/>
    <mergeCell ref="U84:V84"/>
    <mergeCell ref="U85:V85"/>
    <mergeCell ref="U86:V86"/>
    <mergeCell ref="U87:V87"/>
    <mergeCell ref="U88:V88"/>
    <mergeCell ref="U89:V89"/>
    <mergeCell ref="B2:I2"/>
    <mergeCell ref="B4:I4"/>
    <mergeCell ref="L4:P4"/>
    <mergeCell ref="R4:Y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B7:C7"/>
    <mergeCell ref="H7:I7"/>
    <mergeCell ref="V5:W5"/>
    <mergeCell ref="X5:Y5"/>
    <mergeCell ref="V6:W6"/>
    <mergeCell ref="X6:Y6"/>
    <mergeCell ref="V7:W7"/>
    <mergeCell ref="X7:Y7"/>
    <mergeCell ref="D7:E7"/>
    <mergeCell ref="F7:G7"/>
    <mergeCell ref="B8:C8"/>
    <mergeCell ref="D8:E8"/>
    <mergeCell ref="F8:G8"/>
    <mergeCell ref="H8:I8"/>
    <mergeCell ref="B11:I11"/>
    <mergeCell ref="E14:F14"/>
    <mergeCell ref="E15:F15"/>
    <mergeCell ref="R15:S15"/>
    <mergeCell ref="U15:V15"/>
    <mergeCell ref="X15:Y15"/>
    <mergeCell ref="B15:C15"/>
    <mergeCell ref="B16:C16"/>
    <mergeCell ref="E16:F16"/>
    <mergeCell ref="H16:I16"/>
    <mergeCell ref="R16:S16"/>
    <mergeCell ref="X16:Y16"/>
    <mergeCell ref="R17:S17"/>
    <mergeCell ref="X17:Y17"/>
    <mergeCell ref="H13:I13"/>
    <mergeCell ref="H14:I14"/>
    <mergeCell ref="B12:C12"/>
    <mergeCell ref="E12:F12"/>
    <mergeCell ref="H12:I12"/>
    <mergeCell ref="B13:C13"/>
    <mergeCell ref="E13:F13"/>
    <mergeCell ref="B14:C14"/>
    <mergeCell ref="H15:I15"/>
    <mergeCell ref="R13:S13"/>
    <mergeCell ref="R14:S14"/>
    <mergeCell ref="U14:V14"/>
    <mergeCell ref="X14:Y14"/>
    <mergeCell ref="X8:Y8"/>
    <mergeCell ref="H18:I18"/>
    <mergeCell ref="H19:I19"/>
    <mergeCell ref="H21:I21"/>
    <mergeCell ref="H22:I22"/>
    <mergeCell ref="H23:I23"/>
    <mergeCell ref="H24:I24"/>
    <mergeCell ref="H25:I25"/>
    <mergeCell ref="H26:I26"/>
    <mergeCell ref="E19:F19"/>
    <mergeCell ref="E20:F20"/>
    <mergeCell ref="E21:F21"/>
    <mergeCell ref="E22:F22"/>
    <mergeCell ref="E23:F23"/>
    <mergeCell ref="E24:F24"/>
    <mergeCell ref="E25:F25"/>
    <mergeCell ref="B17:C17"/>
    <mergeCell ref="E17:F17"/>
    <mergeCell ref="H17:I17"/>
    <mergeCell ref="B18:C18"/>
    <mergeCell ref="E18:F18"/>
    <mergeCell ref="B19:C19"/>
    <mergeCell ref="H20:I20"/>
    <mergeCell ref="B20:C20"/>
    <mergeCell ref="B21:C21"/>
    <mergeCell ref="B22:C22"/>
    <mergeCell ref="B23:C23"/>
    <mergeCell ref="B24:C24"/>
    <mergeCell ref="B25:C25"/>
    <mergeCell ref="B28:I28"/>
    <mergeCell ref="H30:I30"/>
    <mergeCell ref="H31:I31"/>
    <mergeCell ref="X23:Y23"/>
    <mergeCell ref="X24:Y24"/>
    <mergeCell ref="X25:Y25"/>
    <mergeCell ref="X26:Y26"/>
    <mergeCell ref="R28:Y28"/>
    <mergeCell ref="U29:V29"/>
    <mergeCell ref="X29:Y29"/>
    <mergeCell ref="R29:S29"/>
    <mergeCell ref="R30:S30"/>
    <mergeCell ref="U30:V30"/>
    <mergeCell ref="X30:Y30"/>
    <mergeCell ref="R31:S31"/>
    <mergeCell ref="X31:Y31"/>
    <mergeCell ref="X32:Y32"/>
    <mergeCell ref="B29:C29"/>
    <mergeCell ref="E29:F29"/>
    <mergeCell ref="H29:I29"/>
    <mergeCell ref="B30:C30"/>
    <mergeCell ref="E30:F30"/>
    <mergeCell ref="B31:C31"/>
    <mergeCell ref="H32:I32"/>
    <mergeCell ref="R33:S33"/>
    <mergeCell ref="R34:S34"/>
    <mergeCell ref="R35:S35"/>
    <mergeCell ref="R36:S36"/>
    <mergeCell ref="R37:S37"/>
    <mergeCell ref="R38:S38"/>
    <mergeCell ref="U16:V16"/>
    <mergeCell ref="U17:V17"/>
    <mergeCell ref="R18:S18"/>
    <mergeCell ref="U18:V18"/>
    <mergeCell ref="X18:Y18"/>
    <mergeCell ref="U19:V19"/>
    <mergeCell ref="X19:Y19"/>
    <mergeCell ref="U21:V21"/>
    <mergeCell ref="U22:V22"/>
    <mergeCell ref="U23:V23"/>
    <mergeCell ref="U24:V24"/>
    <mergeCell ref="U25:V25"/>
    <mergeCell ref="R22:S22"/>
    <mergeCell ref="R23:S23"/>
    <mergeCell ref="R24:S24"/>
    <mergeCell ref="R25:S25"/>
    <mergeCell ref="R19:S19"/>
    <mergeCell ref="R20:S20"/>
    <mergeCell ref="U20:V20"/>
    <mergeCell ref="X20:Y20"/>
    <mergeCell ref="R21:S21"/>
    <mergeCell ref="B55:C55"/>
    <mergeCell ref="E55:F55"/>
    <mergeCell ref="H55:I55"/>
    <mergeCell ref="E56:F56"/>
    <mergeCell ref="H56:I56"/>
    <mergeCell ref="B56:C56"/>
    <mergeCell ref="X21:Y21"/>
    <mergeCell ref="X22:Y22"/>
    <mergeCell ref="U38:V38"/>
    <mergeCell ref="U39:V39"/>
    <mergeCell ref="U40:V40"/>
    <mergeCell ref="U41:V41"/>
    <mergeCell ref="U42:V42"/>
    <mergeCell ref="U31:V31"/>
    <mergeCell ref="U32:V32"/>
    <mergeCell ref="U33:V33"/>
    <mergeCell ref="U34:V34"/>
    <mergeCell ref="U35:V35"/>
    <mergeCell ref="U36:V36"/>
    <mergeCell ref="U37:V37"/>
    <mergeCell ref="X33:Y33"/>
    <mergeCell ref="X34:Y34"/>
    <mergeCell ref="X35:Y35"/>
    <mergeCell ref="X36:Y36"/>
    <mergeCell ref="X37:Y37"/>
    <mergeCell ref="X38:Y38"/>
    <mergeCell ref="X39:Y39"/>
    <mergeCell ref="R39:S39"/>
    <mergeCell ref="R40:S40"/>
    <mergeCell ref="R41:S41"/>
    <mergeCell ref="R42:S42"/>
    <mergeCell ref="R32:S32"/>
    <mergeCell ref="E48:F48"/>
    <mergeCell ref="E49:F49"/>
    <mergeCell ref="B50:C50"/>
    <mergeCell ref="E50:F50"/>
    <mergeCell ref="H50:I50"/>
    <mergeCell ref="E51:F51"/>
    <mergeCell ref="H51:I51"/>
    <mergeCell ref="B51:C51"/>
    <mergeCell ref="B52:C52"/>
    <mergeCell ref="E52:F52"/>
    <mergeCell ref="H52:I52"/>
    <mergeCell ref="B53:C53"/>
    <mergeCell ref="H53:I53"/>
    <mergeCell ref="B54:C54"/>
    <mergeCell ref="H54:I54"/>
    <mergeCell ref="E53:F53"/>
    <mergeCell ref="E54:F54"/>
    <mergeCell ref="B57:C57"/>
    <mergeCell ref="E57:F57"/>
    <mergeCell ref="H57:I57"/>
    <mergeCell ref="B58:C58"/>
    <mergeCell ref="H58:I58"/>
    <mergeCell ref="B59:C59"/>
    <mergeCell ref="H59:I59"/>
    <mergeCell ref="E63:F63"/>
    <mergeCell ref="E64:F64"/>
    <mergeCell ref="E58:F58"/>
    <mergeCell ref="E59:F59"/>
    <mergeCell ref="H60:I60"/>
    <mergeCell ref="B62:I62"/>
    <mergeCell ref="B63:C63"/>
    <mergeCell ref="H63:I63"/>
    <mergeCell ref="H64:I64"/>
    <mergeCell ref="E66:F66"/>
    <mergeCell ref="E67:F67"/>
    <mergeCell ref="B64:C64"/>
    <mergeCell ref="B65:C65"/>
    <mergeCell ref="E65:F65"/>
    <mergeCell ref="H65:I65"/>
    <mergeCell ref="B66:C66"/>
    <mergeCell ref="H66:I66"/>
    <mergeCell ref="H67:I67"/>
    <mergeCell ref="E69:F69"/>
    <mergeCell ref="E70:F70"/>
    <mergeCell ref="B67:C67"/>
    <mergeCell ref="B68:C68"/>
    <mergeCell ref="E68:F68"/>
    <mergeCell ref="H68:I68"/>
    <mergeCell ref="B69:C69"/>
    <mergeCell ref="H69:I69"/>
    <mergeCell ref="H70:I70"/>
    <mergeCell ref="E72:F72"/>
    <mergeCell ref="E73:F73"/>
    <mergeCell ref="B70:C70"/>
    <mergeCell ref="B71:C71"/>
    <mergeCell ref="E71:F71"/>
    <mergeCell ref="H71:I71"/>
    <mergeCell ref="B72:C72"/>
    <mergeCell ref="H72:I72"/>
    <mergeCell ref="H73:I73"/>
    <mergeCell ref="E75:F75"/>
    <mergeCell ref="E76:F76"/>
    <mergeCell ref="B73:C73"/>
    <mergeCell ref="B74:C74"/>
    <mergeCell ref="E74:F74"/>
    <mergeCell ref="H74:I74"/>
    <mergeCell ref="B75:C75"/>
    <mergeCell ref="H75:I75"/>
    <mergeCell ref="B76:C76"/>
    <mergeCell ref="R57:S57"/>
    <mergeCell ref="R58:S58"/>
    <mergeCell ref="R59:S59"/>
    <mergeCell ref="X57:Y57"/>
    <mergeCell ref="X58:Y58"/>
    <mergeCell ref="X59:Y59"/>
    <mergeCell ref="X60:Y60"/>
    <mergeCell ref="R62:Y62"/>
    <mergeCell ref="U63:V63"/>
    <mergeCell ref="X63:Y63"/>
    <mergeCell ref="U68:V68"/>
    <mergeCell ref="U69:V69"/>
    <mergeCell ref="R66:S66"/>
    <mergeCell ref="R67:S67"/>
    <mergeCell ref="U67:V67"/>
    <mergeCell ref="X67:Y67"/>
    <mergeCell ref="R68:S68"/>
    <mergeCell ref="X68:Y68"/>
    <mergeCell ref="X69:Y69"/>
    <mergeCell ref="U65:V65"/>
    <mergeCell ref="U66:V66"/>
    <mergeCell ref="R63:S63"/>
    <mergeCell ref="R64:S64"/>
    <mergeCell ref="U64:V64"/>
    <mergeCell ref="X64:Y64"/>
    <mergeCell ref="R65:S65"/>
    <mergeCell ref="X65:Y65"/>
    <mergeCell ref="X66:Y66"/>
    <mergeCell ref="U71:V71"/>
    <mergeCell ref="U72:V72"/>
    <mergeCell ref="R69:S69"/>
    <mergeCell ref="R70:S70"/>
    <mergeCell ref="U70:V70"/>
    <mergeCell ref="X70:Y70"/>
    <mergeCell ref="R71:S71"/>
    <mergeCell ref="X71:Y71"/>
    <mergeCell ref="X72:Y72"/>
    <mergeCell ref="U74:V74"/>
    <mergeCell ref="U75:V75"/>
    <mergeCell ref="R72:S72"/>
    <mergeCell ref="R73:S73"/>
    <mergeCell ref="U73:V73"/>
    <mergeCell ref="X73:Y73"/>
    <mergeCell ref="R74:S74"/>
    <mergeCell ref="X74:Y74"/>
    <mergeCell ref="X75:Y75"/>
    <mergeCell ref="U80:V80"/>
    <mergeCell ref="X80:Y80"/>
    <mergeCell ref="R75:S75"/>
    <mergeCell ref="R76:S76"/>
    <mergeCell ref="U76:V76"/>
    <mergeCell ref="X76:Y76"/>
    <mergeCell ref="X77:Y77"/>
    <mergeCell ref="R79:Y79"/>
    <mergeCell ref="R80:S80"/>
    <mergeCell ref="X40:Y40"/>
    <mergeCell ref="X41:Y41"/>
    <mergeCell ref="X42:Y42"/>
    <mergeCell ref="X43:Y43"/>
    <mergeCell ref="R45:Y45"/>
    <mergeCell ref="U46:V46"/>
    <mergeCell ref="X46:Y46"/>
    <mergeCell ref="R46:S46"/>
    <mergeCell ref="R47:S47"/>
    <mergeCell ref="U47:V47"/>
    <mergeCell ref="X47:Y47"/>
    <mergeCell ref="R48:S48"/>
    <mergeCell ref="X48:Y48"/>
    <mergeCell ref="X49:Y49"/>
    <mergeCell ref="U55:V55"/>
    <mergeCell ref="U56:V56"/>
    <mergeCell ref="U57:V57"/>
    <mergeCell ref="U58:V58"/>
    <mergeCell ref="U59:V59"/>
    <mergeCell ref="U48:V48"/>
    <mergeCell ref="U49:V49"/>
    <mergeCell ref="U50:V50"/>
    <mergeCell ref="U51:V51"/>
    <mergeCell ref="U52:V52"/>
    <mergeCell ref="U53:V53"/>
    <mergeCell ref="U54:V54"/>
    <mergeCell ref="R49:S49"/>
    <mergeCell ref="R50:S50"/>
    <mergeCell ref="R51:S51"/>
    <mergeCell ref="R52:S52"/>
    <mergeCell ref="R53:S53"/>
    <mergeCell ref="R54:S54"/>
    <mergeCell ref="R55:S55"/>
    <mergeCell ref="X50:Y50"/>
    <mergeCell ref="X51:Y51"/>
    <mergeCell ref="X52:Y52"/>
    <mergeCell ref="X53:Y53"/>
    <mergeCell ref="X54:Y54"/>
    <mergeCell ref="X55:Y55"/>
    <mergeCell ref="X56:Y56"/>
    <mergeCell ref="R56:S56"/>
    <mergeCell ref="X82:Y82"/>
    <mergeCell ref="X83:Y83"/>
    <mergeCell ref="U100:V100"/>
    <mergeCell ref="U101:V101"/>
    <mergeCell ref="R98:S98"/>
    <mergeCell ref="R99:S99"/>
    <mergeCell ref="U99:V99"/>
    <mergeCell ref="X99:Y99"/>
    <mergeCell ref="R100:S100"/>
    <mergeCell ref="X100:Y100"/>
    <mergeCell ref="X101:Y101"/>
    <mergeCell ref="H40:I40"/>
    <mergeCell ref="H41:I41"/>
    <mergeCell ref="H42:I42"/>
    <mergeCell ref="H43:I43"/>
    <mergeCell ref="B45:I45"/>
    <mergeCell ref="E46:F46"/>
    <mergeCell ref="H46:I46"/>
    <mergeCell ref="B46:C46"/>
    <mergeCell ref="B47:C47"/>
    <mergeCell ref="E47:F47"/>
    <mergeCell ref="H47:I47"/>
    <mergeCell ref="B48:C48"/>
    <mergeCell ref="H48:I48"/>
    <mergeCell ref="B49:C49"/>
    <mergeCell ref="H49:I49"/>
    <mergeCell ref="E82:F82"/>
    <mergeCell ref="E83:F83"/>
    <mergeCell ref="E84:F84"/>
    <mergeCell ref="E85:F85"/>
    <mergeCell ref="E86:F86"/>
    <mergeCell ref="E87:F87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37:F37"/>
    <mergeCell ref="B39:C39"/>
    <mergeCell ref="B40:C40"/>
    <mergeCell ref="B41:C41"/>
    <mergeCell ref="B42:C42"/>
    <mergeCell ref="B32:C32"/>
    <mergeCell ref="B33:C33"/>
    <mergeCell ref="B34:C34"/>
    <mergeCell ref="B35:C35"/>
    <mergeCell ref="B36:C36"/>
    <mergeCell ref="B37:C37"/>
    <mergeCell ref="B38:C38"/>
    <mergeCell ref="H33:I33"/>
    <mergeCell ref="H34:I34"/>
    <mergeCell ref="H35:I35"/>
    <mergeCell ref="H36:I36"/>
    <mergeCell ref="H37:I37"/>
    <mergeCell ref="H38:I38"/>
    <mergeCell ref="H39:I39"/>
    <mergeCell ref="H80:I80"/>
    <mergeCell ref="H81:I81"/>
    <mergeCell ref="E97:F97"/>
    <mergeCell ref="H97:I97"/>
    <mergeCell ref="H90:I90"/>
    <mergeCell ref="H91:I91"/>
    <mergeCell ref="H92:I92"/>
    <mergeCell ref="H93:I93"/>
    <mergeCell ref="H94:I94"/>
    <mergeCell ref="B96:I96"/>
    <mergeCell ref="B97:C97"/>
    <mergeCell ref="H76:I76"/>
    <mergeCell ref="H77:I77"/>
    <mergeCell ref="B79:I79"/>
    <mergeCell ref="B80:C80"/>
    <mergeCell ref="E80:F80"/>
    <mergeCell ref="B81:C81"/>
    <mergeCell ref="H82:I82"/>
    <mergeCell ref="E88:F88"/>
    <mergeCell ref="E89:F89"/>
    <mergeCell ref="E90:F90"/>
    <mergeCell ref="E91:F91"/>
    <mergeCell ref="E92:F92"/>
    <mergeCell ref="E93:F93"/>
    <mergeCell ref="E81:F81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88:C88"/>
    <mergeCell ref="H83:I83"/>
    <mergeCell ref="H84:I84"/>
    <mergeCell ref="H85:I85"/>
    <mergeCell ref="H86:I86"/>
    <mergeCell ref="H87:I87"/>
    <mergeCell ref="H88:I88"/>
    <mergeCell ref="H89:I89"/>
    <mergeCell ref="H99:I99"/>
    <mergeCell ref="H100:I100"/>
    <mergeCell ref="E117:F117"/>
    <mergeCell ref="E118:F118"/>
    <mergeCell ref="B115:C115"/>
    <mergeCell ref="B116:C116"/>
    <mergeCell ref="E116:F116"/>
    <mergeCell ref="H116:I116"/>
    <mergeCell ref="B117:C117"/>
    <mergeCell ref="H117:I117"/>
    <mergeCell ref="H118:I118"/>
    <mergeCell ref="E120:F120"/>
    <mergeCell ref="E121:F121"/>
    <mergeCell ref="B118:C118"/>
    <mergeCell ref="B119:C119"/>
    <mergeCell ref="E119:F119"/>
    <mergeCell ref="H119:I119"/>
    <mergeCell ref="B120:C120"/>
    <mergeCell ref="H120:I120"/>
    <mergeCell ref="H121:I121"/>
    <mergeCell ref="H106:I106"/>
    <mergeCell ref="H107:I107"/>
    <mergeCell ref="H108:I108"/>
    <mergeCell ref="B121:C121"/>
    <mergeCell ref="B122:C122"/>
    <mergeCell ref="E122:F122"/>
    <mergeCell ref="H122:I122"/>
    <mergeCell ref="B123:C123"/>
    <mergeCell ref="H123:I123"/>
    <mergeCell ref="H124:I124"/>
    <mergeCell ref="H160:I160"/>
    <mergeCell ref="H161:I161"/>
    <mergeCell ref="H162:I162"/>
    <mergeCell ref="B164:I164"/>
    <mergeCell ref="E165:F165"/>
    <mergeCell ref="H165:I165"/>
    <mergeCell ref="H166:I166"/>
    <mergeCell ref="B159:C159"/>
    <mergeCell ref="B160:C160"/>
    <mergeCell ref="B161:C161"/>
    <mergeCell ref="B162:C162"/>
    <mergeCell ref="B163:C163"/>
    <mergeCell ref="B165:C165"/>
    <mergeCell ref="B166:C166"/>
    <mergeCell ref="B149:C149"/>
    <mergeCell ref="E149:F149"/>
    <mergeCell ref="H149:I149"/>
    <mergeCell ref="B150:C150"/>
    <mergeCell ref="E150:F150"/>
    <mergeCell ref="B151:C151"/>
    <mergeCell ref="H152:I152"/>
    <mergeCell ref="E158:F158"/>
    <mergeCell ref="E159:F159"/>
    <mergeCell ref="E156:F156"/>
    <mergeCell ref="E157:F157"/>
    <mergeCell ref="B152:C152"/>
    <mergeCell ref="B153:C153"/>
    <mergeCell ref="B154:C154"/>
    <mergeCell ref="B155:C155"/>
    <mergeCell ref="B156:C156"/>
    <mergeCell ref="B157:C157"/>
    <mergeCell ref="B158:C158"/>
    <mergeCell ref="H153:I153"/>
    <mergeCell ref="H154:I154"/>
    <mergeCell ref="H155:I155"/>
    <mergeCell ref="H156:I156"/>
    <mergeCell ref="H157:I157"/>
    <mergeCell ref="H158:I158"/>
    <mergeCell ref="H159:I159"/>
    <mergeCell ref="E123:F123"/>
    <mergeCell ref="E124:F124"/>
    <mergeCell ref="B174:C174"/>
    <mergeCell ref="B175:C175"/>
    <mergeCell ref="H175:I175"/>
    <mergeCell ref="B167:C167"/>
    <mergeCell ref="B168:C168"/>
    <mergeCell ref="B169:C169"/>
    <mergeCell ref="B170:C170"/>
    <mergeCell ref="B171:C171"/>
    <mergeCell ref="B172:C172"/>
    <mergeCell ref="B173:C173"/>
    <mergeCell ref="E171:F171"/>
    <mergeCell ref="H171:I171"/>
    <mergeCell ref="E172:F172"/>
    <mergeCell ref="H172:I172"/>
    <mergeCell ref="E173:F173"/>
    <mergeCell ref="H173:I173"/>
    <mergeCell ref="H174:I174"/>
    <mergeCell ref="E174:F174"/>
    <mergeCell ref="E175:F175"/>
    <mergeCell ref="B176:C176"/>
    <mergeCell ref="E176:F176"/>
    <mergeCell ref="H176:I176"/>
    <mergeCell ref="E177:F177"/>
    <mergeCell ref="H177:I177"/>
    <mergeCell ref="E182:F182"/>
    <mergeCell ref="H182:I182"/>
    <mergeCell ref="B177:C177"/>
    <mergeCell ref="B178:C178"/>
    <mergeCell ref="E178:F178"/>
    <mergeCell ref="H178:I178"/>
    <mergeCell ref="H179:I179"/>
    <mergeCell ref="B181:I181"/>
    <mergeCell ref="B182:C182"/>
    <mergeCell ref="B183:C183"/>
    <mergeCell ref="E183:F183"/>
    <mergeCell ref="H183:I183"/>
    <mergeCell ref="B184:C184"/>
    <mergeCell ref="E184:F184"/>
    <mergeCell ref="B185:C185"/>
    <mergeCell ref="H186:I186"/>
    <mergeCell ref="H192:I192"/>
    <mergeCell ref="H193:I193"/>
    <mergeCell ref="H184:I184"/>
    <mergeCell ref="H185:I185"/>
    <mergeCell ref="H187:I187"/>
    <mergeCell ref="H188:I188"/>
    <mergeCell ref="H189:I189"/>
    <mergeCell ref="H190:I190"/>
    <mergeCell ref="H191:I191"/>
    <mergeCell ref="X212:Y212"/>
    <mergeCell ref="X213:Y213"/>
    <mergeCell ref="X205:Y205"/>
    <mergeCell ref="X206:Y206"/>
    <mergeCell ref="X207:Y207"/>
    <mergeCell ref="X208:Y208"/>
    <mergeCell ref="X209:Y209"/>
    <mergeCell ref="X210:Y210"/>
    <mergeCell ref="X211:Y211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R200:S200"/>
    <mergeCell ref="U200:V200"/>
    <mergeCell ref="X200:Y200"/>
    <mergeCell ref="U201:V201"/>
    <mergeCell ref="X201:Y201"/>
    <mergeCell ref="R201:S201"/>
    <mergeCell ref="R202:S202"/>
    <mergeCell ref="U202:V202"/>
    <mergeCell ref="X202:Y202"/>
    <mergeCell ref="R203:S203"/>
    <mergeCell ref="X203:Y203"/>
    <mergeCell ref="X204:Y204"/>
    <mergeCell ref="U210:V210"/>
    <mergeCell ref="U211:V211"/>
    <mergeCell ref="U212:V212"/>
    <mergeCell ref="U203:V203"/>
    <mergeCell ref="U204:V204"/>
    <mergeCell ref="U205:V205"/>
    <mergeCell ref="U206:V206"/>
    <mergeCell ref="U207:V207"/>
    <mergeCell ref="U208:V208"/>
    <mergeCell ref="U209:V209"/>
    <mergeCell ref="R204:S204"/>
    <mergeCell ref="R205:S205"/>
    <mergeCell ref="R206:S206"/>
    <mergeCell ref="R207:S207"/>
    <mergeCell ref="R208:S208"/>
    <mergeCell ref="R209:S209"/>
    <mergeCell ref="R210:S210"/>
    <mergeCell ref="X216:Y216"/>
    <mergeCell ref="X217:Y217"/>
    <mergeCell ref="U233:V233"/>
    <mergeCell ref="X233:Y233"/>
    <mergeCell ref="X226:Y226"/>
    <mergeCell ref="X227:Y227"/>
    <mergeCell ref="X228:Y228"/>
    <mergeCell ref="X229:Y229"/>
    <mergeCell ref="X230:Y230"/>
    <mergeCell ref="R232:Y232"/>
    <mergeCell ref="R233:S233"/>
    <mergeCell ref="R234:S234"/>
    <mergeCell ref="U234:V234"/>
    <mergeCell ref="X234:Y234"/>
    <mergeCell ref="R235:S235"/>
    <mergeCell ref="U235:V235"/>
    <mergeCell ref="R236:S236"/>
    <mergeCell ref="R229:S229"/>
    <mergeCell ref="R218:S218"/>
    <mergeCell ref="R219:S219"/>
    <mergeCell ref="R220:S220"/>
    <mergeCell ref="R221:S221"/>
    <mergeCell ref="R222:S222"/>
    <mergeCell ref="R223:S223"/>
    <mergeCell ref="R224:S224"/>
    <mergeCell ref="X219:Y219"/>
    <mergeCell ref="X220:Y220"/>
    <mergeCell ref="X221:Y221"/>
    <mergeCell ref="X222:Y222"/>
    <mergeCell ref="X223:Y223"/>
    <mergeCell ref="X224:Y224"/>
    <mergeCell ref="X225:Y225"/>
    <mergeCell ref="X237:Y237"/>
    <mergeCell ref="U243:V243"/>
    <mergeCell ref="U244:V244"/>
    <mergeCell ref="U245:V245"/>
    <mergeCell ref="U246:V246"/>
    <mergeCell ref="U236:V236"/>
    <mergeCell ref="U237:V237"/>
    <mergeCell ref="U238:V238"/>
    <mergeCell ref="U239:V239"/>
    <mergeCell ref="U240:V240"/>
    <mergeCell ref="U241:V241"/>
    <mergeCell ref="U242:V242"/>
    <mergeCell ref="R244:S244"/>
    <mergeCell ref="R245:S245"/>
    <mergeCell ref="R246:S246"/>
    <mergeCell ref="R237:S237"/>
    <mergeCell ref="R238:S238"/>
    <mergeCell ref="R239:S239"/>
    <mergeCell ref="R240:S240"/>
    <mergeCell ref="R241:S241"/>
    <mergeCell ref="R242:S242"/>
    <mergeCell ref="R243:S243"/>
    <mergeCell ref="X245:Y245"/>
    <mergeCell ref="X246:Y246"/>
    <mergeCell ref="X247:Y247"/>
    <mergeCell ref="X238:Y238"/>
    <mergeCell ref="X239:Y239"/>
    <mergeCell ref="X240:Y240"/>
    <mergeCell ref="X241:Y241"/>
    <mergeCell ref="X242:Y242"/>
    <mergeCell ref="X243:Y243"/>
    <mergeCell ref="X244:Y244"/>
    <mergeCell ref="R211:S211"/>
    <mergeCell ref="R212:S212"/>
    <mergeCell ref="R215:Y215"/>
    <mergeCell ref="R216:S216"/>
    <mergeCell ref="U216:V216"/>
    <mergeCell ref="R217:S217"/>
    <mergeCell ref="X218:Y218"/>
    <mergeCell ref="U224:V224"/>
    <mergeCell ref="U225:V225"/>
    <mergeCell ref="U226:V226"/>
    <mergeCell ref="U227:V227"/>
    <mergeCell ref="U228:V228"/>
    <mergeCell ref="U229:V229"/>
    <mergeCell ref="U217:V217"/>
    <mergeCell ref="U218:V218"/>
    <mergeCell ref="U219:V219"/>
    <mergeCell ref="U220:V220"/>
    <mergeCell ref="U221:V221"/>
    <mergeCell ref="U222:V222"/>
    <mergeCell ref="U223:V223"/>
    <mergeCell ref="R225:S225"/>
    <mergeCell ref="R226:S226"/>
    <mergeCell ref="R227:S227"/>
    <mergeCell ref="R228:S228"/>
    <mergeCell ref="X235:Y235"/>
    <mergeCell ref="X236:Y236"/>
    <mergeCell ref="E211:F211"/>
    <mergeCell ref="E212:F212"/>
    <mergeCell ref="H207:I207"/>
    <mergeCell ref="H208:I208"/>
    <mergeCell ref="E209:F209"/>
    <mergeCell ref="H209:I209"/>
    <mergeCell ref="E210:F210"/>
    <mergeCell ref="H210:I210"/>
    <mergeCell ref="H211:I211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E194:F194"/>
    <mergeCell ref="H194:I194"/>
    <mergeCell ref="E195:F195"/>
    <mergeCell ref="H195:I195"/>
    <mergeCell ref="H196:I196"/>
    <mergeCell ref="H201:I201"/>
    <mergeCell ref="H202:I202"/>
    <mergeCell ref="B198:I198"/>
    <mergeCell ref="E199:F199"/>
    <mergeCell ref="H199:I199"/>
    <mergeCell ref="E200:F200"/>
    <mergeCell ref="H200:I200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195:C195"/>
    <mergeCell ref="B199:C199"/>
    <mergeCell ref="B200:C200"/>
    <mergeCell ref="B201:C201"/>
    <mergeCell ref="B202:C202"/>
    <mergeCell ref="B203:C203"/>
    <mergeCell ref="B204:C204"/>
    <mergeCell ref="E206:F206"/>
    <mergeCell ref="E207:F207"/>
    <mergeCell ref="E208:F208"/>
    <mergeCell ref="E203:F203"/>
    <mergeCell ref="H216:I216"/>
    <mergeCell ref="H217:I217"/>
    <mergeCell ref="E233:F233"/>
    <mergeCell ref="H233:I233"/>
    <mergeCell ref="H226:I226"/>
    <mergeCell ref="H227:I227"/>
    <mergeCell ref="H228:I228"/>
    <mergeCell ref="H229:I229"/>
    <mergeCell ref="H230:I230"/>
    <mergeCell ref="B232:I232"/>
    <mergeCell ref="B233:C233"/>
    <mergeCell ref="B234:C234"/>
    <mergeCell ref="E234:F234"/>
    <mergeCell ref="H234:I234"/>
    <mergeCell ref="B235:C235"/>
    <mergeCell ref="E235:F235"/>
    <mergeCell ref="B236:C236"/>
    <mergeCell ref="B229:C229"/>
    <mergeCell ref="B218:C218"/>
    <mergeCell ref="B219:C219"/>
    <mergeCell ref="B220:C220"/>
    <mergeCell ref="B221:C221"/>
    <mergeCell ref="B222:C222"/>
    <mergeCell ref="B223:C223"/>
    <mergeCell ref="B224:C224"/>
    <mergeCell ref="H219:I219"/>
    <mergeCell ref="H220:I220"/>
    <mergeCell ref="H221:I221"/>
    <mergeCell ref="H222:I222"/>
    <mergeCell ref="H223:I223"/>
    <mergeCell ref="H224:I224"/>
    <mergeCell ref="H225:I225"/>
    <mergeCell ref="H237:I237"/>
    <mergeCell ref="E243:F243"/>
    <mergeCell ref="E244:F244"/>
    <mergeCell ref="E245:F245"/>
    <mergeCell ref="E246:F246"/>
    <mergeCell ref="E236:F236"/>
    <mergeCell ref="E237:F237"/>
    <mergeCell ref="E238:F238"/>
    <mergeCell ref="E239:F239"/>
    <mergeCell ref="E240:F240"/>
    <mergeCell ref="E241:F241"/>
    <mergeCell ref="E242:F242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42:C242"/>
    <mergeCell ref="B243:C243"/>
    <mergeCell ref="H245:I245"/>
    <mergeCell ref="H246:I246"/>
    <mergeCell ref="H247:I247"/>
    <mergeCell ref="H238:I238"/>
    <mergeCell ref="H239:I239"/>
    <mergeCell ref="H240:I240"/>
    <mergeCell ref="H241:I241"/>
    <mergeCell ref="H242:I242"/>
    <mergeCell ref="H243:I243"/>
    <mergeCell ref="H244:I244"/>
    <mergeCell ref="H212:I212"/>
    <mergeCell ref="H213:I213"/>
    <mergeCell ref="B215:I215"/>
    <mergeCell ref="B216:C216"/>
    <mergeCell ref="E216:F216"/>
    <mergeCell ref="B217:C217"/>
    <mergeCell ref="H218:I218"/>
    <mergeCell ref="E224:F224"/>
    <mergeCell ref="E225:F225"/>
    <mergeCell ref="E226:F226"/>
    <mergeCell ref="E227:F227"/>
    <mergeCell ref="E228:F228"/>
    <mergeCell ref="E229:F229"/>
    <mergeCell ref="E217:F217"/>
    <mergeCell ref="E218:F218"/>
    <mergeCell ref="E219:F219"/>
    <mergeCell ref="E220:F220"/>
    <mergeCell ref="E221:F221"/>
    <mergeCell ref="E222:F222"/>
    <mergeCell ref="E223:F223"/>
    <mergeCell ref="B225:C225"/>
    <mergeCell ref="B226:C226"/>
    <mergeCell ref="B227:C227"/>
    <mergeCell ref="B228:C228"/>
    <mergeCell ref="H235:I235"/>
    <mergeCell ref="H236:I236"/>
    <mergeCell ref="E114:F114"/>
    <mergeCell ref="E115:F115"/>
    <mergeCell ref="H109:I109"/>
    <mergeCell ref="H110:I110"/>
    <mergeCell ref="H111:I111"/>
    <mergeCell ref="B113:I113"/>
    <mergeCell ref="B114:C114"/>
    <mergeCell ref="H114:I114"/>
    <mergeCell ref="H115:I115"/>
    <mergeCell ref="E126:F126"/>
    <mergeCell ref="E127:F127"/>
    <mergeCell ref="B124:C124"/>
    <mergeCell ref="B125:C125"/>
    <mergeCell ref="E125:F125"/>
    <mergeCell ref="H125:I125"/>
    <mergeCell ref="B126:C126"/>
    <mergeCell ref="H126:I126"/>
    <mergeCell ref="B127:C127"/>
    <mergeCell ref="H131:I131"/>
    <mergeCell ref="H132:I132"/>
    <mergeCell ref="E148:F148"/>
    <mergeCell ref="H148:I148"/>
    <mergeCell ref="H141:I141"/>
    <mergeCell ref="H142:I142"/>
    <mergeCell ref="H143:I143"/>
    <mergeCell ref="H144:I144"/>
    <mergeCell ref="H145:I145"/>
    <mergeCell ref="B147:I147"/>
    <mergeCell ref="B148:C148"/>
    <mergeCell ref="H127:I127"/>
    <mergeCell ref="B98:C98"/>
    <mergeCell ref="E98:F98"/>
    <mergeCell ref="H98:I98"/>
    <mergeCell ref="B99:C99"/>
    <mergeCell ref="E99:F99"/>
    <mergeCell ref="B100:C100"/>
    <mergeCell ref="H101:I101"/>
    <mergeCell ref="E107:F107"/>
    <mergeCell ref="E108:F108"/>
    <mergeCell ref="E109:F109"/>
    <mergeCell ref="E110:F110"/>
    <mergeCell ref="E100:F100"/>
    <mergeCell ref="E101:F101"/>
    <mergeCell ref="E102:F102"/>
    <mergeCell ref="E103:F103"/>
    <mergeCell ref="E104:F104"/>
    <mergeCell ref="E105:F105"/>
    <mergeCell ref="E106:F106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06:C106"/>
    <mergeCell ref="B107:C107"/>
    <mergeCell ref="H102:I102"/>
    <mergeCell ref="H103:I103"/>
    <mergeCell ref="H104:I104"/>
    <mergeCell ref="H105:I105"/>
    <mergeCell ref="H128:I128"/>
    <mergeCell ref="B130:I130"/>
    <mergeCell ref="B131:C131"/>
    <mergeCell ref="E131:F131"/>
    <mergeCell ref="B132:C132"/>
    <mergeCell ref="H133:I133"/>
    <mergeCell ref="E139:F139"/>
    <mergeCell ref="E140:F140"/>
    <mergeCell ref="E141:F141"/>
    <mergeCell ref="E142:F142"/>
    <mergeCell ref="E143:F143"/>
    <mergeCell ref="E144:F144"/>
    <mergeCell ref="E132:F132"/>
    <mergeCell ref="E133:F133"/>
    <mergeCell ref="E134:F134"/>
    <mergeCell ref="E135:F135"/>
    <mergeCell ref="E136:F136"/>
    <mergeCell ref="E137:F137"/>
    <mergeCell ref="E138:F138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39:C139"/>
    <mergeCell ref="H134:I134"/>
    <mergeCell ref="H203:I203"/>
    <mergeCell ref="E204:F204"/>
    <mergeCell ref="H204:I204"/>
    <mergeCell ref="E205:F205"/>
    <mergeCell ref="H205:I205"/>
    <mergeCell ref="H206:I206"/>
    <mergeCell ref="H135:I135"/>
    <mergeCell ref="H136:I136"/>
    <mergeCell ref="H137:I137"/>
    <mergeCell ref="H138:I138"/>
    <mergeCell ref="H139:I139"/>
    <mergeCell ref="H140:I140"/>
    <mergeCell ref="H150:I150"/>
    <mergeCell ref="H151:I151"/>
    <mergeCell ref="H169:I169"/>
    <mergeCell ref="H170:I170"/>
    <mergeCell ref="E166:F166"/>
    <mergeCell ref="E167:F167"/>
    <mergeCell ref="H167:I167"/>
    <mergeCell ref="E168:F168"/>
    <mergeCell ref="H168:I168"/>
    <mergeCell ref="E169:F169"/>
    <mergeCell ref="E170:F170"/>
    <mergeCell ref="E201:F201"/>
    <mergeCell ref="E202:F202"/>
    <mergeCell ref="E160:F160"/>
    <mergeCell ref="E161:F161"/>
    <mergeCell ref="E151:F151"/>
    <mergeCell ref="E152:F152"/>
    <mergeCell ref="E153:F153"/>
    <mergeCell ref="E154:F154"/>
    <mergeCell ref="E155:F155"/>
  </mergeCells>
  <conditionalFormatting sqref="A1:Z248">
    <cfRule type="cellIs" dxfId="5" priority="1" operator="equal">
      <formula>"Leaf"</formula>
    </cfRule>
    <cfRule type="cellIs" dxfId="4" priority="2" operator="equal">
      <formula>"Sand"</formula>
    </cfRule>
    <cfRule type="cellIs" dxfId="3" priority="3" operator="equal">
      <formula>"Water"</formula>
    </cfRule>
    <cfRule type="cellIs" dxfId="2" priority="4" operator="equal">
      <formula>"Lightning"</formula>
    </cfRule>
    <cfRule type="cellIs" dxfId="1" priority="5" operator="equal">
      <formula>"Poison"</formula>
    </cfRule>
    <cfRule type="cellIs" dxfId="0" priority="6" operator="equal">
      <formula>"Beetle"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Water</v>
      </c>
      <c r="D3" s="7" t="str">
        <v>Scale</v>
      </c>
      <c r="E3" s="7" t="str">
        <v>Power</v>
      </c>
      <c r="F3" s="8" t="str">
        <v>Poison</v>
      </c>
      <c r="G3" s="8" t="str">
        <v>Flame</v>
      </c>
      <c r="H3" s="7" t="str">
        <v>Essence</v>
      </c>
      <c r="I3" s="7" t="str">
        <v>Sand</v>
      </c>
      <c r="J3" s="7" t="str">
        <v>Feather</v>
      </c>
      <c r="K3" s="7" t="str">
        <v>Spirit</v>
      </c>
      <c r="L3" s="7" t="str">
        <v>Acorn</v>
      </c>
      <c r="M3" s="7" t="str">
        <v>Mushroom</v>
      </c>
      <c r="N3" s="8" t="str">
        <v>Egg</v>
      </c>
      <c r="O3" s="7" t="str">
        <v>Shadow</v>
      </c>
      <c r="P3" s="7" t="str">
        <v>Pepper</v>
      </c>
      <c r="Q3" s="7" t="str">
        <v>Berries</v>
      </c>
      <c r="R3" s="7" t="str">
        <v>Leaf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2</v>
      </c>
      <c r="B5" s="10" t="e">
        <f t="array" aca="1" ref="B5" ca="1">_xludf.XLOOKUP(A5,Images!$A:$A,Images!$C:$C,"")</f>
        <v>#NAME?</v>
      </c>
      <c r="C5" s="11" t="s">
        <v>454</v>
      </c>
      <c r="D5" s="12" t="e">
        <f t="shared" ref="D5:R5" ca="1" si="0">INDEX($C$5:$R$20, COLUMN()-2, ROW()-4)</f>
        <v>#NAME?</v>
      </c>
      <c r="E5" s="12" t="str">
        <f t="shared" si="0"/>
        <v>Event Equipment (Safety Tongs)</v>
      </c>
      <c r="F5" s="12" t="str">
        <f t="shared" si="0"/>
        <v>12 Currency</v>
      </c>
      <c r="G5" s="12" t="e">
        <f t="shared" ca="1" si="0"/>
        <v>#NAME?</v>
      </c>
      <c r="H5" s="12" t="str">
        <f t="shared" si="0"/>
        <v>3 Crafting Shards</v>
      </c>
      <c r="I5" s="12" t="str">
        <f t="shared" si="0"/>
        <v>12 Raid Cards</v>
      </c>
      <c r="J5" s="12" t="str">
        <f t="shared" si="0"/>
        <v>1 Skill Point</v>
      </c>
      <c r="K5" s="12" t="str">
        <f t="shared" si="0"/>
        <v>55 Currency</v>
      </c>
      <c r="L5" s="12" t="str">
        <f t="shared" si="0"/>
        <v>46 Currency</v>
      </c>
      <c r="M5" s="12" t="str">
        <f t="shared" si="0"/>
        <v>89 Currency</v>
      </c>
      <c r="N5" s="12" t="str">
        <f t="shared" si="0"/>
        <v>12 Rare Equipment</v>
      </c>
      <c r="O5" s="12" t="str">
        <f t="shared" si="0"/>
        <v>36 Wildcards</v>
      </c>
      <c r="P5" s="12" t="str">
        <f t="shared" si="0"/>
        <v>2 Fortune Scrolls</v>
      </c>
      <c r="Q5" s="12" t="str">
        <f t="shared" si="0"/>
        <v>306 Currency</v>
      </c>
      <c r="R5" s="12" t="str">
        <f t="shared" si="0"/>
        <v>612 Currency</v>
      </c>
    </row>
    <row r="6" spans="1:18" ht="37.5" customHeight="1">
      <c r="A6" s="8" t="s">
        <v>9</v>
      </c>
      <c r="B6" s="10" t="e">
        <f t="array" aca="1" ref="B6" ca="1">_xludf.XLOOKUP(A6,Images!$A:$A,Images!$C:$C,"")</f>
        <v>#NAME?</v>
      </c>
      <c r="C6" s="13" t="e">
        <f t="array" aca="1" ref="C6" ca="1">_xludf.XLOOKUP("Flame",Images!$A:$A,Images!$C:$C,"")</f>
        <v>#NAME?</v>
      </c>
      <c r="D6" s="11" t="s">
        <v>23</v>
      </c>
      <c r="E6" s="12" t="e">
        <f t="shared" ref="E6:R6" ca="1" si="1">INDEX($C$5:$R$20, COLUMN()-2, ROW()-4)</f>
        <v>#NAME?</v>
      </c>
      <c r="F6" s="12" t="str">
        <f t="shared" si="1"/>
        <v>15 Currency</v>
      </c>
      <c r="G6" s="12" t="str">
        <f t="shared" si="1"/>
        <v>25 Common Equipment</v>
      </c>
      <c r="H6" s="12" t="str">
        <f t="shared" si="1"/>
        <v>22 Currency</v>
      </c>
      <c r="I6" s="12" t="str">
        <f t="shared" si="1"/>
        <v>38 Currency</v>
      </c>
      <c r="J6" s="12" t="str">
        <f t="shared" si="1"/>
        <v>32 Common Equipment</v>
      </c>
      <c r="K6" s="12" t="str">
        <f t="shared" si="1"/>
        <v>58 Currency</v>
      </c>
      <c r="L6" s="12" t="str">
        <f t="shared" si="1"/>
        <v>49 Currency</v>
      </c>
      <c r="M6" s="12" t="str">
        <f t="shared" si="1"/>
        <v>9 Rare Equipment</v>
      </c>
      <c r="N6" s="12" t="str">
        <f t="shared" si="1"/>
        <v>17 Crafting Shards</v>
      </c>
      <c r="O6" s="12" t="str">
        <f t="shared" si="1"/>
        <v>37 Wildcards</v>
      </c>
      <c r="P6" s="12" t="str">
        <f t="shared" si="1"/>
        <v>164 Currency</v>
      </c>
      <c r="Q6" s="12" t="str">
        <f t="shared" si="1"/>
        <v>309 Currency</v>
      </c>
      <c r="R6" s="12" t="str">
        <f t="shared" si="1"/>
        <v>8 Fortune Scrolls</v>
      </c>
    </row>
    <row r="7" spans="1:18" ht="37.5" customHeight="1">
      <c r="A7" s="8" t="s">
        <v>11</v>
      </c>
      <c r="B7" s="10" t="e">
        <f t="array" aca="1" ref="B7" ca="1">_xludf.XLOOKUP(A7,Images!$A:$A,Images!$C:$C,"")</f>
        <v>#NAME?</v>
      </c>
      <c r="C7" s="12" t="s">
        <v>22</v>
      </c>
      <c r="D7" s="13" t="e">
        <f t="array" aca="1" ref="D7" ca="1">_xludf.XLOOKUP("Essence",Images!$A:$A,Images!$C:$C,"")</f>
        <v>#NAME?</v>
      </c>
      <c r="E7" s="11" t="s">
        <v>150</v>
      </c>
      <c r="F7" s="12" t="e">
        <f t="shared" ref="F7:R7" ca="1" si="2">INDEX($C$5:$R$20, COLUMN()-2, ROW()-4)</f>
        <v>#NAME?</v>
      </c>
      <c r="G7" s="12" t="str">
        <f t="shared" si="2"/>
        <v>31 Currency</v>
      </c>
      <c r="H7" s="12" t="str">
        <f t="shared" si="2"/>
        <v>2 Perks</v>
      </c>
      <c r="I7" s="12" t="str">
        <f t="shared" si="2"/>
        <v>45 Currency</v>
      </c>
      <c r="J7" s="12" t="str">
        <f t="shared" si="2"/>
        <v>38 Currency</v>
      </c>
      <c r="K7" s="12" t="str">
        <f t="shared" si="2"/>
        <v>22 Raid Cards</v>
      </c>
      <c r="L7" s="12" t="str">
        <f t="shared" si="2"/>
        <v>3 Perks</v>
      </c>
      <c r="M7" s="12" t="str">
        <f t="shared" si="2"/>
        <v>99 Currency</v>
      </c>
      <c r="N7" s="12" t="str">
        <f t="shared" si="2"/>
        <v>125 Currency</v>
      </c>
      <c r="O7" s="12" t="str">
        <f t="shared" si="2"/>
        <v>10 Perks</v>
      </c>
      <c r="P7" s="12" t="str">
        <f t="shared" si="2"/>
        <v>2 Fortune Scrolls</v>
      </c>
      <c r="Q7" s="12" t="str">
        <f t="shared" si="2"/>
        <v>79 Wildcards</v>
      </c>
      <c r="R7" s="12" t="str">
        <f t="shared" si="2"/>
        <v>621 Currency</v>
      </c>
    </row>
    <row r="8" spans="1:18" ht="37.5" customHeight="1">
      <c r="A8" s="8" t="s">
        <v>4</v>
      </c>
      <c r="B8" s="10" t="e">
        <f t="array" aca="1" ref="B8" ca="1">_xludf.XLOOKUP(F3,Images!$A:$A,Images!$C:$C,"")</f>
        <v>#NAME?</v>
      </c>
      <c r="C8" s="12" t="s">
        <v>23</v>
      </c>
      <c r="D8" s="12" t="s">
        <v>455</v>
      </c>
      <c r="E8" s="13" t="e">
        <f t="array" aca="1" ref="E8" ca="1">_xludf.XLOOKUP("Sand",Images!$A:$A,Images!$C:$C,"")</f>
        <v>#NAME?</v>
      </c>
      <c r="F8" s="11" t="s">
        <v>24</v>
      </c>
      <c r="G8" s="12" t="str">
        <f t="shared" ref="G8:R8" si="3">INDEX($C$5:$R$20, COLUMN()-2, ROW()-4)</f>
        <v>Event Equipment
(Hair of Madness)</v>
      </c>
      <c r="H8" s="12" t="e">
        <f t="shared" ca="1" si="3"/>
        <v>#NAME?</v>
      </c>
      <c r="I8" s="12" t="str">
        <f t="shared" si="3"/>
        <v>13 Raid Cards</v>
      </c>
      <c r="J8" s="12" t="str">
        <f t="shared" si="3"/>
        <v>Event Currency
(Lab Coat)</v>
      </c>
      <c r="K8" s="12" t="str">
        <f t="shared" si="3"/>
        <v>8 Crafting Shards</v>
      </c>
      <c r="L8" s="12" t="str">
        <f t="shared" si="3"/>
        <v>3 Hero Weapons</v>
      </c>
      <c r="M8" s="12" t="str">
        <f t="shared" si="3"/>
        <v>Event Equipment (Master of Elements)</v>
      </c>
      <c r="N8" s="12" t="str">
        <f t="shared" si="3"/>
        <v>8 Hero Weapons</v>
      </c>
      <c r="O8" s="12" t="str">
        <f t="shared" si="3"/>
        <v>Event Equipment (Molecularization)</v>
      </c>
      <c r="P8" s="12" t="str">
        <f t="shared" si="3"/>
        <v>2 Fortune Scrolls</v>
      </c>
      <c r="Q8" s="12" t="str">
        <f t="shared" si="3"/>
        <v>Legendery Equipment
(Granite Maul)</v>
      </c>
      <c r="R8" s="12" t="str">
        <f t="shared" si="3"/>
        <v>618 Currency</v>
      </c>
    </row>
    <row r="9" spans="1:18" ht="37.5" customHeight="1">
      <c r="A9" s="8" t="s">
        <v>7</v>
      </c>
      <c r="B9" s="10" t="e">
        <f t="array" aca="1" ref="B9" ca="1">_xludf.XLOOKUP(A9,Images!$A:$A,Images!$C:$C,"")</f>
        <v>#NAME?</v>
      </c>
      <c r="C9" s="12" t="e">
        <f t="array" aca="1" ref="C9" ca="1">_xludf.XLOOKUP("Feather",Images!$A:$A,Images!$C:$C,"")</f>
        <v>#NAME?</v>
      </c>
      <c r="D9" s="12" t="s">
        <v>456</v>
      </c>
      <c r="E9" s="12" t="s">
        <v>457</v>
      </c>
      <c r="F9" s="12" t="s">
        <v>458</v>
      </c>
      <c r="G9" s="11" t="s">
        <v>131</v>
      </c>
      <c r="H9" s="12" t="str">
        <f t="shared" ref="H9:R9" si="4">INDEX($C$5:$R$20, COLUMN()-2, ROW()-4)</f>
        <v>1 Skill Point</v>
      </c>
      <c r="I9" s="12" t="str">
        <f t="shared" si="4"/>
        <v>51 Currency</v>
      </c>
      <c r="J9" s="12" t="str">
        <f t="shared" si="4"/>
        <v>6 Crafting Shards</v>
      </c>
      <c r="K9" s="12" t="str">
        <f t="shared" si="4"/>
        <v>71 Currency</v>
      </c>
      <c r="L9" s="12" t="e">
        <f t="shared" ca="1" si="4"/>
        <v>#NAME?</v>
      </c>
      <c r="M9" s="12" t="str">
        <f t="shared" si="4"/>
        <v>15 Crafting Shards</v>
      </c>
      <c r="N9" s="12" t="str">
        <f t="shared" si="4"/>
        <v>44 Raid Cards</v>
      </c>
      <c r="O9" s="12" t="str">
        <f t="shared" si="4"/>
        <v>23 Crafting Shards</v>
      </c>
      <c r="P9" s="12" t="str">
        <f t="shared" si="4"/>
        <v>184 Currency</v>
      </c>
      <c r="Q9" s="12" t="str">
        <f t="shared" si="4"/>
        <v>46 Crafting Shards</v>
      </c>
      <c r="R9" s="12" t="str">
        <f t="shared" si="4"/>
        <v>8 Fortune Scrolls</v>
      </c>
    </row>
    <row r="10" spans="1:18" ht="37.5" customHeight="1">
      <c r="A10" s="8" t="s">
        <v>10</v>
      </c>
      <c r="B10" s="10" t="e">
        <f t="array" aca="1" ref="B10" ca="1">_xludf.XLOOKUP(A10,Images!$A:$A,Images!$C:$C,"")</f>
        <v>#NAME?</v>
      </c>
      <c r="C10" s="12" t="s">
        <v>459</v>
      </c>
      <c r="D10" s="12" t="s">
        <v>157</v>
      </c>
      <c r="E10" s="12" t="s">
        <v>33</v>
      </c>
      <c r="F10" s="13" t="e">
        <f t="array" aca="1" ref="F10" ca="1">_xludf.XLOOKUP("Acorn",Images!$A:$A,Images!$C:$C,"")</f>
        <v>#NAME?</v>
      </c>
      <c r="G10" s="12" t="s">
        <v>106</v>
      </c>
      <c r="H10" s="11" t="s">
        <v>38</v>
      </c>
      <c r="I10" s="12" t="e">
        <f t="shared" ref="I10:R10" ca="1" si="5">INDEX($C$5:$R$20, COLUMN()-2, ROW()-4)</f>
        <v>#NAME?</v>
      </c>
      <c r="J10" s="12" t="str">
        <f t="shared" si="5"/>
        <v>42 Currency</v>
      </c>
      <c r="K10" s="12" t="str">
        <f t="shared" si="5"/>
        <v>68 Currency</v>
      </c>
      <c r="L10" s="12" t="str">
        <f t="shared" si="5"/>
        <v>10 Pet Eggs</v>
      </c>
      <c r="M10" s="12" t="str">
        <f t="shared" si="5"/>
        <v>102 Currency</v>
      </c>
      <c r="N10" s="12" t="str">
        <f t="shared" si="5"/>
        <v>22 Pet Eggs</v>
      </c>
      <c r="O10" s="12" t="str">
        <f t="shared" si="5"/>
        <v>157 Currency</v>
      </c>
      <c r="P10" s="12" t="str">
        <f t="shared" si="5"/>
        <v>29 Pet Eggs</v>
      </c>
      <c r="Q10" s="12" t="str">
        <f t="shared" si="5"/>
        <v>319 Currency</v>
      </c>
      <c r="R10" s="12" t="str">
        <f t="shared" si="5"/>
        <v>104 Pet Eggs</v>
      </c>
    </row>
    <row r="11" spans="1:18" ht="37.5" customHeight="1">
      <c r="A11" s="8" t="s">
        <v>1</v>
      </c>
      <c r="B11" s="10" t="e">
        <f t="array" aca="1" ref="B11" ca="1">_xludf.XLOOKUP(I3,Images!$A:$A,Images!$C:$C,"")</f>
        <v>#NAME?</v>
      </c>
      <c r="C11" s="12" t="s">
        <v>40</v>
      </c>
      <c r="D11" s="12" t="s">
        <v>44</v>
      </c>
      <c r="E11" s="12" t="s">
        <v>158</v>
      </c>
      <c r="F11" s="12" t="s">
        <v>460</v>
      </c>
      <c r="G11" s="12" t="s">
        <v>461</v>
      </c>
      <c r="H11" s="12" t="e">
        <f t="array" aca="1" ref="H11" ca="1">_xludf.XLOOKUP("Spirit",Images!$A:$A,Images!$C:$C,"")</f>
        <v>#NAME?</v>
      </c>
      <c r="I11" s="11" t="s">
        <v>172</v>
      </c>
      <c r="J11" s="12" t="str">
        <f t="shared" ref="J11:R11" si="6">INDEX($C$5:$R$20, COLUMN()-2, ROW()-4)</f>
        <v>58 Currency</v>
      </c>
      <c r="K11" s="12" t="e">
        <f t="shared" ca="1" si="6"/>
        <v>#NAME?</v>
      </c>
      <c r="L11" s="12" t="str">
        <f t="shared" si="6"/>
        <v>25 Raid Cards</v>
      </c>
      <c r="M11" s="12" t="str">
        <f t="shared" si="6"/>
        <v>Avatar</v>
      </c>
      <c r="N11" s="12" t="str">
        <f t="shared" si="6"/>
        <v>9 Hero Weapons</v>
      </c>
      <c r="O11" s="12" t="str">
        <f t="shared" si="6"/>
        <v>173 Currency</v>
      </c>
      <c r="P11" s="12" t="str">
        <f t="shared" si="6"/>
        <v>48 Wildcards</v>
      </c>
      <c r="Q11" s="12" t="str">
        <f t="shared" si="6"/>
        <v>111 Raid Cards</v>
      </c>
      <c r="R11" s="12" t="str">
        <f t="shared" si="6"/>
        <v>20 Skill Points</v>
      </c>
    </row>
    <row r="12" spans="1:18" ht="37.5" customHeight="1">
      <c r="A12" s="8" t="s">
        <v>20</v>
      </c>
      <c r="B12" s="10" t="e">
        <f t="array" aca="1" ref="B12" ca="1">_xludf.XLOOKUP(A12,Images!$A:$A,Images!$C:$C,"")</f>
        <v>#NAME?</v>
      </c>
      <c r="C12" s="12" t="s">
        <v>106</v>
      </c>
      <c r="D12" s="12" t="s">
        <v>130</v>
      </c>
      <c r="E12" s="12" t="s">
        <v>44</v>
      </c>
      <c r="F12" s="12" t="s">
        <v>462</v>
      </c>
      <c r="G12" s="12" t="s">
        <v>103</v>
      </c>
      <c r="H12" s="12" t="s">
        <v>360</v>
      </c>
      <c r="I12" s="12" t="s">
        <v>163</v>
      </c>
      <c r="J12" s="11" t="s">
        <v>37</v>
      </c>
      <c r="K12" s="12" t="str">
        <f t="shared" ref="K12:R12" si="7">INDEX($C$5:$R$20, COLUMN()-2, ROW()-4)</f>
        <v>3 Skill Points</v>
      </c>
      <c r="L12" s="12" t="e">
        <f t="shared" ca="1" si="7"/>
        <v>#NAME?</v>
      </c>
      <c r="M12" s="12" t="str">
        <f t="shared" si="7"/>
        <v>4 Skill Points</v>
      </c>
      <c r="N12" s="12" t="str">
        <f t="shared" si="7"/>
        <v>9 Hero Weapons</v>
      </c>
      <c r="O12" s="12" t="str">
        <f t="shared" si="7"/>
        <v>7 Skill Points</v>
      </c>
      <c r="P12" s="12" t="str">
        <f t="shared" si="7"/>
        <v>184 Currency</v>
      </c>
      <c r="Q12" s="12" t="str">
        <f t="shared" si="7"/>
        <v>13 Skill Points</v>
      </c>
      <c r="R12" s="12" t="str">
        <f t="shared" si="7"/>
        <v>8 Fortune Scrolls</v>
      </c>
    </row>
    <row r="13" spans="1:18" ht="37.5" customHeight="1">
      <c r="A13" s="8" t="s">
        <v>13</v>
      </c>
      <c r="B13" s="10" t="e">
        <f t="array" aca="1" ref="B13" ca="1">_xludf.XLOOKUP(A13,Images!$A:$A,Images!$C:$C,"")</f>
        <v>#NAME?</v>
      </c>
      <c r="C13" s="14" t="s">
        <v>164</v>
      </c>
      <c r="D13" s="12" t="s">
        <v>163</v>
      </c>
      <c r="E13" s="12" t="s">
        <v>58</v>
      </c>
      <c r="F13" s="12" t="s">
        <v>104</v>
      </c>
      <c r="G13" s="12" t="s">
        <v>166</v>
      </c>
      <c r="H13" s="12" t="s">
        <v>167</v>
      </c>
      <c r="I13" s="12" t="e">
        <f t="array" aca="1" ref="I13" ca="1">_xludf.XLOOKUP("Egg",Images!$A:$A,Images!$C:$C,"")</f>
        <v>#NAME?</v>
      </c>
      <c r="J13" s="12" t="s">
        <v>53</v>
      </c>
      <c r="K13" s="11" t="s">
        <v>168</v>
      </c>
      <c r="L13" s="12" t="str">
        <f t="shared" ref="L13:R13" si="8">INDEX($C$5:$R$20, COLUMN()-2, ROW()-4)</f>
        <v>31 Raid Cards</v>
      </c>
      <c r="M13" s="17" t="str">
        <f t="shared" si="8"/>
        <v>46 Raid Cards</v>
      </c>
      <c r="N13" s="12" t="str">
        <f t="shared" si="8"/>
        <v>55 Raid Cards</v>
      </c>
      <c r="O13" s="12" t="str">
        <f t="shared" si="8"/>
        <v>193 Currency</v>
      </c>
      <c r="P13" s="12" t="str">
        <f t="shared" si="8"/>
        <v>70 Raid Cards</v>
      </c>
      <c r="Q13" s="12" t="str">
        <f t="shared" si="8"/>
        <v>335 Currency</v>
      </c>
      <c r="R13" s="12" t="str">
        <f t="shared" si="8"/>
        <v>220 Raid Cards</v>
      </c>
    </row>
    <row r="14" spans="1:18" ht="37.5" customHeight="1">
      <c r="A14" s="8" t="s">
        <v>19</v>
      </c>
      <c r="B14" s="10" t="e">
        <f t="array" aca="1" ref="B14" ca="1">_xludf.XLOOKUP(A14,Images!$A:$A,Images!$C:$C,"")</f>
        <v>#NAME?</v>
      </c>
      <c r="C14" s="12" t="s">
        <v>169</v>
      </c>
      <c r="D14" s="15" t="s">
        <v>170</v>
      </c>
      <c r="E14" s="12" t="s">
        <v>62</v>
      </c>
      <c r="F14" s="14" t="s">
        <v>171</v>
      </c>
      <c r="G14" s="12" t="e">
        <f t="array" aca="1" ref="G14" ca="1">_xludf.XLOOKUP("Pepper",Images!$A:$A,Images!$C:$C,"")</f>
        <v>#NAME?</v>
      </c>
      <c r="H14" s="12" t="s">
        <v>172</v>
      </c>
      <c r="I14" s="12" t="s">
        <v>110</v>
      </c>
      <c r="J14" s="12" t="e">
        <f t="array" aca="1" ref="J14" ca="1">_xludf.XLOOKUP("Mushroom",Images!$A:$A,Images!$C:$C,"")</f>
        <v>#NAME?</v>
      </c>
      <c r="K14" s="12" t="s">
        <v>174</v>
      </c>
      <c r="L14" s="11" t="s">
        <v>463</v>
      </c>
      <c r="M14" s="12" t="e">
        <f t="shared" ref="M14:R14" ca="1" si="9">INDEX($C$5:$R$20, COLUMN()-2, ROW()-4)</f>
        <v>#NAME?</v>
      </c>
      <c r="N14" s="12" t="str">
        <f t="shared" si="9"/>
        <v>156 Currency</v>
      </c>
      <c r="O14" s="12" t="str">
        <f t="shared" si="9"/>
        <v>Legendary Equipment</v>
      </c>
      <c r="P14" s="12" t="str">
        <f t="shared" si="9"/>
        <v>50 Wildcards</v>
      </c>
      <c r="Q14" s="12" t="str">
        <f t="shared" si="9"/>
        <v>Legendary Equipment (Granite Plate)</v>
      </c>
      <c r="R14" s="12" t="str">
        <f t="shared" si="9"/>
        <v>652 Currency</v>
      </c>
    </row>
    <row r="15" spans="1:18" ht="37.5" customHeight="1">
      <c r="A15" s="8" t="s">
        <v>17</v>
      </c>
      <c r="B15" s="10" t="e">
        <f t="array" aca="1" ref="B15" ca="1">_xludf.XLOOKUP(A15,Images!$A:$A,Images!$C:$C,"")</f>
        <v>#NAME?</v>
      </c>
      <c r="C15" s="12" t="s">
        <v>176</v>
      </c>
      <c r="D15" s="12" t="s">
        <v>177</v>
      </c>
      <c r="E15" s="12" t="s">
        <v>178</v>
      </c>
      <c r="F15" s="12" t="s">
        <v>41</v>
      </c>
      <c r="G15" s="12" t="s">
        <v>464</v>
      </c>
      <c r="H15" s="12" t="s">
        <v>180</v>
      </c>
      <c r="I15" s="12" t="s">
        <v>343</v>
      </c>
      <c r="J15" s="12" t="s">
        <v>65</v>
      </c>
      <c r="K15" s="12" t="s">
        <v>465</v>
      </c>
      <c r="L15" s="12" t="e">
        <f t="array" aca="1" ref="L15" ca="1">_xludf.XLOOKUP("Leaf",Images!$A:$A,Images!$C:$C,"")</f>
        <v>#NAME?</v>
      </c>
      <c r="M15" s="11" t="s">
        <v>183</v>
      </c>
      <c r="N15" s="12" t="e">
        <f t="shared" ref="N15:R15" ca="1" si="10">INDEX($C$5:$R$20, COLUMN()-2, ROW()-4)</f>
        <v>#NAME?</v>
      </c>
      <c r="O15" s="12" t="str">
        <f t="shared" si="10"/>
        <v>227 Currency</v>
      </c>
      <c r="P15" s="12" t="str">
        <f t="shared" si="10"/>
        <v>1 Legendary Equipment</v>
      </c>
      <c r="Q15" s="12" t="str">
        <f t="shared" si="10"/>
        <v>Legendary Equipment (Granite Full Helm)</v>
      </c>
      <c r="R15" s="12" t="str">
        <f t="shared" si="10"/>
        <v>695 Currency</v>
      </c>
    </row>
    <row r="16" spans="1:18" ht="37.5" customHeight="1">
      <c r="A16" s="8" t="s">
        <v>96</v>
      </c>
      <c r="B16" s="10" t="e">
        <f t="array" aca="1" ref="B16" ca="1">_xludf.XLOOKUP(A16,Images!$A:$A,Images!$C:$C,"")</f>
        <v>#NAME?</v>
      </c>
      <c r="C16" s="12" t="s">
        <v>80</v>
      </c>
      <c r="D16" s="12" t="s">
        <v>466</v>
      </c>
      <c r="E16" s="12" t="s">
        <v>185</v>
      </c>
      <c r="F16" s="12" t="s">
        <v>81</v>
      </c>
      <c r="G16" s="12" t="s">
        <v>467</v>
      </c>
      <c r="H16" s="12" t="s">
        <v>188</v>
      </c>
      <c r="I16" s="12" t="s">
        <v>468</v>
      </c>
      <c r="J16" s="12" t="s">
        <v>468</v>
      </c>
      <c r="K16" s="12" t="s">
        <v>191</v>
      </c>
      <c r="L16" s="12" t="s">
        <v>294</v>
      </c>
      <c r="M16" s="12" t="e">
        <f t="array" aca="1" ref="M16" ca="1">_xludf.XLOOKUP("Shadow",Images!$A:$A,Images!$C:$C,"")</f>
        <v>#NAME?</v>
      </c>
      <c r="N16" s="11" t="s">
        <v>193</v>
      </c>
      <c r="O16" s="12" t="str">
        <f t="shared" ref="O16:R16" si="11">INDEX($C$5:$R$20, COLUMN()-2, ROW()-4)</f>
        <v>13 Fortune Weapons</v>
      </c>
      <c r="P16" s="12" t="str">
        <f t="shared" si="11"/>
        <v>271 Currency</v>
      </c>
      <c r="Q16" s="12" t="str">
        <f t="shared" si="11"/>
        <v>21 Fortune Weapons</v>
      </c>
      <c r="R16" s="12" t="str">
        <f t="shared" si="11"/>
        <v>722 Currency</v>
      </c>
    </row>
    <row r="17" spans="1:18" ht="37.5" customHeight="1">
      <c r="A17" s="8" t="s">
        <v>12</v>
      </c>
      <c r="B17" s="10" t="e">
        <f t="array" aca="1" ref="B17" ca="1">_xludf.XLOOKUP(A17,Images!$A:$A,Images!$C:$C,"")</f>
        <v>#NAME?</v>
      </c>
      <c r="C17" s="12" t="s">
        <v>194</v>
      </c>
      <c r="D17" s="12" t="s">
        <v>195</v>
      </c>
      <c r="E17" s="12" t="s">
        <v>196</v>
      </c>
      <c r="F17" s="12" t="s">
        <v>36</v>
      </c>
      <c r="G17" s="12" t="s">
        <v>469</v>
      </c>
      <c r="H17" s="12" t="s">
        <v>198</v>
      </c>
      <c r="I17" s="14" t="s">
        <v>199</v>
      </c>
      <c r="J17" s="12" t="s">
        <v>200</v>
      </c>
      <c r="K17" s="12" t="s">
        <v>201</v>
      </c>
      <c r="L17" s="12" t="s">
        <v>425</v>
      </c>
      <c r="M17" s="12" t="s">
        <v>203</v>
      </c>
      <c r="N17" s="12" t="s">
        <v>204</v>
      </c>
      <c r="O17" s="11" t="s">
        <v>205</v>
      </c>
      <c r="P17" s="12" t="e">
        <f t="shared" ref="P17:R17" ca="1" si="12">INDEX($C$5:$R$20, COLUMN()-2, ROW()-4)</f>
        <v>#NAME?</v>
      </c>
      <c r="Q17" s="12" t="str">
        <f t="shared" si="12"/>
        <v>444 Currency</v>
      </c>
      <c r="R17" s="12" t="str">
        <f t="shared" si="12"/>
        <v>30 Skill Points</v>
      </c>
    </row>
    <row r="18" spans="1:18" ht="37.5" customHeight="1">
      <c r="A18" s="8" t="s">
        <v>21</v>
      </c>
      <c r="B18" s="10" t="e">
        <f t="array" aca="1" ref="B18" ca="1">_xludf.XLOOKUP(A18,Images!$A:$A,Images!$C:$C,"")</f>
        <v>#NAME?</v>
      </c>
      <c r="C18" s="12" t="s">
        <v>78</v>
      </c>
      <c r="D18" s="12" t="s">
        <v>71</v>
      </c>
      <c r="E18" s="12" t="s">
        <v>78</v>
      </c>
      <c r="F18" s="12" t="s">
        <v>78</v>
      </c>
      <c r="G18" s="12" t="s">
        <v>209</v>
      </c>
      <c r="H18" s="12" t="s">
        <v>207</v>
      </c>
      <c r="I18" s="14" t="s">
        <v>208</v>
      </c>
      <c r="J18" s="12" t="s">
        <v>209</v>
      </c>
      <c r="K18" s="12" t="s">
        <v>210</v>
      </c>
      <c r="L18" s="12" t="s">
        <v>211</v>
      </c>
      <c r="M18" s="12" t="s">
        <v>94</v>
      </c>
      <c r="N18" s="12" t="s">
        <v>213</v>
      </c>
      <c r="O18" s="12" t="e">
        <f t="array" aca="1" ref="O18" ca="1">_xludf.XLOOKUP("Berries",Images!$A:$A,Images!$C:$C,"")</f>
        <v>#NAME?</v>
      </c>
      <c r="P18" s="11" t="s">
        <v>214</v>
      </c>
      <c r="Q18" s="12" t="str">
        <f t="shared" ref="Q18:R18" si="13">INDEX($C$5:$R$20, COLUMN()-2, ROW()-4)</f>
        <v>115 Wild Cards</v>
      </c>
      <c r="R18" s="12" t="str">
        <f t="shared" si="13"/>
        <v>Unique Equipment (Sophia's Faith)</v>
      </c>
    </row>
    <row r="19" spans="1:18" ht="37.5" customHeight="1">
      <c r="A19" s="8" t="s">
        <v>16</v>
      </c>
      <c r="B19" s="10" t="e">
        <f t="array" aca="1" ref="B19" ca="1">_xludf.XLOOKUP(A19,Images!$A:$A,Images!$C:$C,"")</f>
        <v>#NAME?</v>
      </c>
      <c r="C19" s="12" t="s">
        <v>215</v>
      </c>
      <c r="D19" s="12" t="s">
        <v>216</v>
      </c>
      <c r="E19" s="12" t="s">
        <v>217</v>
      </c>
      <c r="F19" s="12" t="s">
        <v>470</v>
      </c>
      <c r="G19" s="12" t="s">
        <v>471</v>
      </c>
      <c r="H19" s="12" t="s">
        <v>220</v>
      </c>
      <c r="I19" s="12" t="s">
        <v>472</v>
      </c>
      <c r="J19" s="12" t="s">
        <v>222</v>
      </c>
      <c r="K19" s="12" t="s">
        <v>473</v>
      </c>
      <c r="L19" s="12" t="s">
        <v>474</v>
      </c>
      <c r="M19" s="12" t="s">
        <v>475</v>
      </c>
      <c r="N19" s="12" t="s">
        <v>226</v>
      </c>
      <c r="O19" s="12" t="s">
        <v>227</v>
      </c>
      <c r="P19" s="12" t="s">
        <v>476</v>
      </c>
      <c r="Q19" s="11" t="s">
        <v>477</v>
      </c>
      <c r="R19" s="12" t="str">
        <f t="array" ref="R19">INDEX($C$5:$R$20, COLUMN()-2, ROW()-4)</f>
        <v>228 Wildcards</v>
      </c>
    </row>
    <row r="20" spans="1:18" ht="37.5" customHeight="1">
      <c r="A20" s="8" t="s">
        <v>0</v>
      </c>
      <c r="B20" s="10" t="e">
        <f t="array" aca="1" ref="B20" ca="1">_xludf.XLOOKUP(R3,Images!$A:$A,Images!$C:$C,"")</f>
        <v>#NAME?</v>
      </c>
      <c r="C20" s="12" t="s">
        <v>120</v>
      </c>
      <c r="D20" s="12" t="s">
        <v>121</v>
      </c>
      <c r="E20" s="12" t="s">
        <v>229</v>
      </c>
      <c r="F20" s="12" t="s">
        <v>230</v>
      </c>
      <c r="G20" s="12" t="s">
        <v>121</v>
      </c>
      <c r="H20" s="12" t="s">
        <v>231</v>
      </c>
      <c r="I20" s="14" t="s">
        <v>122</v>
      </c>
      <c r="J20" s="12" t="s">
        <v>121</v>
      </c>
      <c r="K20" s="12" t="s">
        <v>123</v>
      </c>
      <c r="L20" s="12" t="s">
        <v>124</v>
      </c>
      <c r="M20" s="12" t="s">
        <v>125</v>
      </c>
      <c r="N20" s="12" t="s">
        <v>126</v>
      </c>
      <c r="O20" s="12" t="s">
        <v>233</v>
      </c>
      <c r="P20" s="14" t="s">
        <v>478</v>
      </c>
      <c r="Q20" s="14" t="s">
        <v>235</v>
      </c>
      <c r="R20" s="11" t="s">
        <v>236</v>
      </c>
    </row>
  </sheetData>
  <mergeCells count="1"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Archive 7.8</vt:lpstr>
      <vt:lpstr>Recipe Matrix</vt:lpstr>
      <vt:lpstr>Calculations</vt:lpstr>
      <vt:lpstr>Output</vt:lpstr>
      <vt:lpstr>Sheet10</vt:lpstr>
      <vt:lpstr>ARCHIVE 7.4</vt:lpstr>
      <vt:lpstr>ARCHIVE 6.2 Recipe Matrix</vt:lpstr>
      <vt:lpstr>(ARCHIVE) 5.29 Recipe Matrix</vt:lpstr>
      <vt:lpstr>(ARCHIVE) 6.8 Recipe Matrix</vt:lpstr>
      <vt:lpstr>(ARCHIVE) Recipe Matrix 7.0</vt:lpstr>
      <vt:lpstr>5.29 Recipe Matrix (Unsorted)</vt:lpstr>
      <vt:lpstr>5.29 Recipe Book</vt:lpstr>
      <vt:lpstr>Images</vt:lpstr>
      <vt:lpstr>(ARCHIVE) 5.24 Recipe Matrix</vt:lpstr>
      <vt:lpstr>Ingredient List</vt:lpstr>
      <vt:lpstr>(ARCHIVE) 5.24 Recipe Book</vt:lpstr>
      <vt:lpstr>Archive 7.12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Barkat, Peter</dc:creator>
  <cp:lastModifiedBy>Barkat, Peter</cp:lastModifiedBy>
  <dcterms:created xsi:type="dcterms:W3CDTF">2026-03-23T11:20:10Z</dcterms:created>
  <dcterms:modified xsi:type="dcterms:W3CDTF">2026-03-23T11:46:15Z</dcterms:modified>
</cp:coreProperties>
</file>